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Krseormpinffl1\tax_gto$\ACR\Qatar Energy Seoul LLC\BK\2026\26.01~04PL확인\"/>
    </mc:Choice>
  </mc:AlternateContent>
  <xr:revisionPtr revIDLastSave="0" documentId="13_ncr:1_{107CEB58-DE2E-4193-A1CD-C4B3B64FF448}" xr6:coauthVersionLast="47" xr6:coauthVersionMax="47" xr10:uidLastSave="{00000000-0000-0000-0000-000000000000}"/>
  <bookViews>
    <workbookView xWindow="19090" yWindow="-110" windowWidth="22620" windowHeight="13500" tabRatio="850" xr2:uid="{00000000-000D-0000-FFFF-FFFF00000000}"/>
  </bookViews>
  <sheets>
    <sheet name="Jan–Apr 2026 Summary" sheetId="1" r:id="rId1"/>
    <sheet name="Revenue Markup Working Jan" sheetId="4" r:id="rId2"/>
    <sheet name="Revenue Markup Working Feb" sheetId="8" r:id="rId3"/>
    <sheet name="Revenue Markup Working March" sheetId="9" r:id="rId4"/>
    <sheet name="Revenue Markup Working April" sheetId="10" r:id="rId5"/>
  </sheets>
  <definedNames>
    <definedName name="_xlnm._FilterDatabase" localSheetId="2" hidden="1">'Revenue Markup Working Feb'!$A$33:$W$50</definedName>
    <definedName name="TB" localSheetId="4">#REF!</definedName>
    <definedName name="TB" localSheetId="2">#REF!</definedName>
    <definedName name="TB" localSheetId="3">#REF!</definedName>
    <definedName name="TB">#REF!</definedName>
    <definedName name="TBV" localSheetId="4">#REF!</definedName>
    <definedName name="TBV" localSheetId="2">#REF!</definedName>
    <definedName name="TBV" localSheetId="3">#REF!</definedName>
    <definedName name="TBV">#REF!</definedName>
    <definedName name="UFPrn20060929121919" localSheetId="4">#REF!</definedName>
    <definedName name="UFPrn20060929121919" localSheetId="2">#REF!</definedName>
    <definedName name="UFPrn20060929121919" localSheetId="3">#REF!</definedName>
    <definedName name="UFPrn20060929121919">#REF!</definedName>
    <definedName name="UFPrn20060929122307" localSheetId="4">#REF!</definedName>
    <definedName name="UFPrn20060929122307" localSheetId="2">#REF!</definedName>
    <definedName name="UFPrn20060929122307" localSheetId="3">#REF!</definedName>
    <definedName name="UFPrn20060929122307">#REF!</definedName>
    <definedName name="UFPrn20060929153427" localSheetId="4">#REF!</definedName>
    <definedName name="UFPrn20060929153427" localSheetId="2">#REF!</definedName>
    <definedName name="UFPrn20060929153427" localSheetId="3">#REF!</definedName>
    <definedName name="UFPrn20060929153427">#REF!</definedName>
    <definedName name="UFPrn20061101172252" localSheetId="4">#REF!</definedName>
    <definedName name="UFPrn20061101172252" localSheetId="2">#REF!</definedName>
    <definedName name="UFPrn20061101172252" localSheetId="3">#REF!</definedName>
    <definedName name="UFPrn20061101172252">#REF!</definedName>
    <definedName name="UFPrn20071206135312" localSheetId="4">#REF!</definedName>
    <definedName name="UFPrn20071206135312" localSheetId="2">#REF!</definedName>
    <definedName name="UFPrn20071206135312" localSheetId="3">#REF!</definedName>
    <definedName name="UFPrn20071206135312">#REF!</definedName>
    <definedName name="UFPrn20071206163429" localSheetId="4">#REF!</definedName>
    <definedName name="UFPrn20071206163429" localSheetId="2">#REF!</definedName>
    <definedName name="UFPrn20071206163429" localSheetId="3">#REF!</definedName>
    <definedName name="UFPrn20071206163429">#REF!</definedName>
    <definedName name="UFPrn20071206164549" localSheetId="4">#REF!</definedName>
    <definedName name="UFPrn20071206164549" localSheetId="2">#REF!</definedName>
    <definedName name="UFPrn20071206164549" localSheetId="3">#REF!</definedName>
    <definedName name="UFPrn20071206164549">#REF!</definedName>
    <definedName name="UFPrn20071206164935" localSheetId="4">#REF!</definedName>
    <definedName name="UFPrn20071206164935" localSheetId="2">#REF!</definedName>
    <definedName name="UFPrn20071206164935" localSheetId="3">#REF!</definedName>
    <definedName name="UFPrn20071206164935">#REF!</definedName>
    <definedName name="UFPrn20071206185711" localSheetId="4">#REF!</definedName>
    <definedName name="UFPrn20071206185711" localSheetId="2">#REF!</definedName>
    <definedName name="UFPrn20071206185711" localSheetId="3">#REF!</definedName>
    <definedName name="UFPrn20071206185711">#REF!</definedName>
    <definedName name="UFPrn20080121112404" localSheetId="4">#REF!</definedName>
    <definedName name="UFPrn20080121112404" localSheetId="2">#REF!</definedName>
    <definedName name="UFPrn20080121112404" localSheetId="3">#REF!</definedName>
    <definedName name="UFPrn20080121112404">#REF!</definedName>
    <definedName name="核算项目分类总账" localSheetId="4">#REF!</definedName>
    <definedName name="核算项目分类总账" localSheetId="2">#REF!</definedName>
    <definedName name="核算项目分类总账" localSheetId="3">#REF!</definedName>
    <definedName name="核算项目分类总账">#REF!</definedName>
    <definedName name="会计分录序时簿" localSheetId="4">#REF!</definedName>
    <definedName name="会计分录序时簿" localSheetId="2">#REF!</definedName>
    <definedName name="会计分录序时簿" localSheetId="3">#REF!</definedName>
    <definedName name="会计分录序时簿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0" l="1"/>
  <c r="B69" i="10"/>
  <c r="B70" i="10"/>
  <c r="B71" i="10" s="1"/>
  <c r="B58" i="10"/>
  <c r="E29" i="10"/>
  <c r="E30" i="10" s="1"/>
  <c r="B64" i="10"/>
  <c r="F10" i="10"/>
  <c r="B63" i="10"/>
  <c r="B62" i="10"/>
  <c r="B61" i="10"/>
  <c r="B60" i="10"/>
  <c r="B59" i="10"/>
  <c r="B57" i="10"/>
  <c r="E16" i="10"/>
  <c r="B65" i="10" l="1"/>
  <c r="B66" i="10" s="1"/>
  <c r="E18" i="4"/>
  <c r="E10" i="4"/>
  <c r="K54" i="1" l="1"/>
  <c r="I54" i="1"/>
  <c r="G54" i="1"/>
  <c r="E54" i="1"/>
  <c r="B47" i="4"/>
  <c r="B46" i="4"/>
  <c r="B45" i="4"/>
  <c r="E14" i="9"/>
  <c r="H5" i="1"/>
  <c r="I49" i="1" l="1"/>
  <c r="B74" i="8"/>
  <c r="E14" i="8"/>
  <c r="B75" i="8" l="1"/>
  <c r="B76" i="8" s="1"/>
  <c r="B48" i="4"/>
  <c r="G26" i="1" l="1"/>
  <c r="E18" i="8"/>
  <c r="B49" i="4" l="1"/>
  <c r="B50" i="4" s="1"/>
  <c r="E13" i="4"/>
  <c r="E20" i="4"/>
  <c r="J45" i="1"/>
  <c r="J44" i="1"/>
  <c r="H45" i="1"/>
  <c r="H44" i="1"/>
  <c r="H47" i="1" s="1"/>
  <c r="F45" i="1"/>
  <c r="F44" i="1"/>
  <c r="D47" i="1"/>
  <c r="K47" i="1"/>
  <c r="I47" i="1"/>
  <c r="G47" i="1"/>
  <c r="E47" i="1"/>
  <c r="D45" i="1"/>
  <c r="D44" i="1"/>
  <c r="J47" i="1" l="1"/>
  <c r="F47" i="1"/>
  <c r="D29" i="10"/>
  <c r="F28" i="10"/>
  <c r="E27" i="10"/>
  <c r="F27" i="10" s="1"/>
  <c r="E26" i="10"/>
  <c r="F26" i="10" s="1"/>
  <c r="F25" i="10"/>
  <c r="F24" i="10"/>
  <c r="F23" i="10"/>
  <c r="F22" i="10"/>
  <c r="F21" i="10"/>
  <c r="E20" i="10"/>
  <c r="F20" i="10" s="1"/>
  <c r="E19" i="10"/>
  <c r="F19" i="10" s="1"/>
  <c r="E18" i="10"/>
  <c r="F18" i="10" s="1"/>
  <c r="E17" i="10"/>
  <c r="F17" i="10" s="1"/>
  <c r="F16" i="10"/>
  <c r="F15" i="10"/>
  <c r="E14" i="10"/>
  <c r="F14" i="10" s="1"/>
  <c r="E13" i="10"/>
  <c r="F13" i="10" s="1"/>
  <c r="F12" i="10"/>
  <c r="E11" i="10"/>
  <c r="F11" i="10" s="1"/>
  <c r="E9" i="10"/>
  <c r="F9" i="10" s="1"/>
  <c r="F8" i="10"/>
  <c r="E7" i="10"/>
  <c r="D28" i="9"/>
  <c r="D29" i="9" s="1"/>
  <c r="D31" i="9" s="1"/>
  <c r="D32" i="9" s="1"/>
  <c r="F27" i="9"/>
  <c r="E26" i="9"/>
  <c r="F26" i="9" s="1"/>
  <c r="E25" i="9"/>
  <c r="F25" i="9" s="1"/>
  <c r="E24" i="9"/>
  <c r="F24" i="9" s="1"/>
  <c r="E23" i="9"/>
  <c r="F23" i="9" s="1"/>
  <c r="C72" i="9" s="1"/>
  <c r="E22" i="9"/>
  <c r="F22" i="9" s="1"/>
  <c r="F21" i="9"/>
  <c r="C71" i="9" s="1"/>
  <c r="F20" i="9"/>
  <c r="E19" i="9"/>
  <c r="F19" i="9" s="1"/>
  <c r="E18" i="9"/>
  <c r="F18" i="9" s="1"/>
  <c r="C70" i="9" s="1"/>
  <c r="E17" i="9"/>
  <c r="F17" i="9" s="1"/>
  <c r="E16" i="9"/>
  <c r="F16" i="9" s="1"/>
  <c r="C69" i="9" s="1"/>
  <c r="F15" i="9"/>
  <c r="F14" i="9"/>
  <c r="C68" i="9" s="1"/>
  <c r="E13" i="9"/>
  <c r="F13" i="9" s="1"/>
  <c r="E12" i="9"/>
  <c r="F12" i="9" s="1"/>
  <c r="E11" i="9"/>
  <c r="F11" i="9" s="1"/>
  <c r="E10" i="9"/>
  <c r="F10" i="9" s="1"/>
  <c r="E9" i="9"/>
  <c r="F9" i="9" s="1"/>
  <c r="C67" i="9" s="1"/>
  <c r="F8" i="9"/>
  <c r="E7" i="9"/>
  <c r="F7" i="9" s="1"/>
  <c r="D27" i="8"/>
  <c r="F26" i="8"/>
  <c r="F20" i="8"/>
  <c r="F8" i="8"/>
  <c r="C73" i="9" l="1"/>
  <c r="C74" i="9" s="1"/>
  <c r="C75" i="9" s="1"/>
  <c r="F7" i="10"/>
  <c r="D30" i="10"/>
  <c r="E28" i="9"/>
  <c r="D28" i="8"/>
  <c r="D26" i="4"/>
  <c r="D27" i="4" s="1"/>
  <c r="F25" i="4"/>
  <c r="E24" i="4"/>
  <c r="F24" i="4" s="1"/>
  <c r="E23" i="4"/>
  <c r="F23" i="4" s="1"/>
  <c r="F22" i="4"/>
  <c r="F21" i="4"/>
  <c r="F20" i="4"/>
  <c r="F19" i="4"/>
  <c r="F18" i="4"/>
  <c r="E17" i="4"/>
  <c r="F17" i="4" s="1"/>
  <c r="E16" i="4"/>
  <c r="F16" i="4" s="1"/>
  <c r="E15" i="4"/>
  <c r="F15" i="4" s="1"/>
  <c r="F14" i="4"/>
  <c r="F13" i="4"/>
  <c r="E12" i="4"/>
  <c r="F12" i="4" s="1"/>
  <c r="E11" i="4"/>
  <c r="F11" i="4" s="1"/>
  <c r="F10" i="4"/>
  <c r="E9" i="4"/>
  <c r="F9" i="4" s="1"/>
  <c r="E8" i="4"/>
  <c r="F8" i="4" s="1"/>
  <c r="E7" i="4"/>
  <c r="F7" i="4" s="1"/>
  <c r="E50" i="1"/>
  <c r="K50" i="1"/>
  <c r="I50" i="1"/>
  <c r="E32" i="10" l="1"/>
  <c r="E33" i="10" s="1"/>
  <c r="F29" i="10"/>
  <c r="E29" i="9"/>
  <c r="F29" i="9" s="1"/>
  <c r="F28" i="9"/>
  <c r="D30" i="8"/>
  <c r="D31" i="8" s="1"/>
  <c r="D32" i="10"/>
  <c r="D33" i="10" s="1"/>
  <c r="F26" i="4"/>
  <c r="D29" i="4"/>
  <c r="D30" i="4" s="1"/>
  <c r="E26" i="4"/>
  <c r="F30" i="10" l="1"/>
  <c r="F32" i="10"/>
  <c r="E31" i="9"/>
  <c r="E27" i="4"/>
  <c r="J5" i="1"/>
  <c r="J39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6" i="1"/>
  <c r="I37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6" i="1"/>
  <c r="H39" i="1"/>
  <c r="F39" i="1"/>
  <c r="G6" i="1"/>
  <c r="E7" i="8" s="1"/>
  <c r="G7" i="1"/>
  <c r="G8" i="1"/>
  <c r="G9" i="1"/>
  <c r="E9" i="8" s="1"/>
  <c r="F9" i="8" s="1"/>
  <c r="G10" i="1"/>
  <c r="E10" i="8" s="1"/>
  <c r="F10" i="8" s="1"/>
  <c r="G11" i="1"/>
  <c r="E11" i="8" s="1"/>
  <c r="F11" i="8" s="1"/>
  <c r="G12" i="1"/>
  <c r="E12" i="8" s="1"/>
  <c r="F12" i="8" s="1"/>
  <c r="G13" i="1"/>
  <c r="E13" i="8" s="1"/>
  <c r="F13" i="8" s="1"/>
  <c r="G14" i="1"/>
  <c r="F14" i="8" s="1"/>
  <c r="G15" i="1"/>
  <c r="F15" i="8" s="1"/>
  <c r="G16" i="1"/>
  <c r="G17" i="1"/>
  <c r="E16" i="8" s="1"/>
  <c r="F16" i="8" s="1"/>
  <c r="G18" i="1"/>
  <c r="E17" i="8" s="1"/>
  <c r="F17" i="8" s="1"/>
  <c r="G19" i="1"/>
  <c r="F18" i="8" s="1"/>
  <c r="G20" i="1"/>
  <c r="E19" i="8" s="1"/>
  <c r="F19" i="8" s="1"/>
  <c r="G21" i="1"/>
  <c r="E21" i="8" s="1"/>
  <c r="F21" i="8" s="1"/>
  <c r="G22" i="1"/>
  <c r="G23" i="1"/>
  <c r="E22" i="8" s="1"/>
  <c r="F22" i="8" s="1"/>
  <c r="G24" i="1"/>
  <c r="E23" i="8" s="1"/>
  <c r="F23" i="8" s="1"/>
  <c r="G25" i="1"/>
  <c r="E25" i="8" s="1"/>
  <c r="F25" i="8" s="1"/>
  <c r="E24" i="8"/>
  <c r="F24" i="8" s="1"/>
  <c r="F5" i="1"/>
  <c r="D39" i="1"/>
  <c r="E27" i="8" l="1"/>
  <c r="E28" i="8" s="1"/>
  <c r="F7" i="8"/>
  <c r="F27" i="8" s="1"/>
  <c r="F31" i="9"/>
  <c r="E32" i="9"/>
  <c r="E29" i="4"/>
  <c r="F27" i="4"/>
  <c r="K39" i="1"/>
  <c r="K49" i="1" s="1"/>
  <c r="K40" i="1"/>
  <c r="G39" i="1"/>
  <c r="G49" i="1" s="1"/>
  <c r="I5" i="1"/>
  <c r="F40" i="1"/>
  <c r="F42" i="1"/>
  <c r="D40" i="1"/>
  <c r="D42" i="1"/>
  <c r="K5" i="1"/>
  <c r="J40" i="1"/>
  <c r="J42" i="1" s="1"/>
  <c r="H40" i="1"/>
  <c r="H42" i="1" s="1"/>
  <c r="I39" i="1"/>
  <c r="G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6" i="1"/>
  <c r="D5" i="1"/>
  <c r="E30" i="8" l="1"/>
  <c r="F28" i="8"/>
  <c r="F29" i="4"/>
  <c r="E30" i="4"/>
  <c r="K42" i="1"/>
  <c r="E39" i="1"/>
  <c r="E49" i="1" s="1"/>
  <c r="G40" i="1"/>
  <c r="G42" i="1" s="1"/>
  <c r="G50" i="1" s="1"/>
  <c r="I40" i="1"/>
  <c r="I42" i="1"/>
  <c r="E5" i="1"/>
  <c r="E31" i="8" l="1"/>
  <c r="F30" i="8"/>
  <c r="E40" i="1"/>
  <c r="E42" i="1"/>
</calcChain>
</file>

<file path=xl/sharedStrings.xml><?xml version="1.0" encoding="utf-8"?>
<sst xmlns="http://schemas.openxmlformats.org/spreadsheetml/2006/main" count="1532" uniqueCount="394">
  <si>
    <t>Ⅳ. S/A expenses</t>
  </si>
  <si>
    <t>[80200]    Employee wages and salaries</t>
  </si>
  <si>
    <t>[80300]    Bonuses</t>
  </si>
  <si>
    <t>[81100]    Employee benefits</t>
  </si>
  <si>
    <t>[81101]    Social Insurance Contributions</t>
  </si>
  <si>
    <t>[81200]    Travel expenses</t>
  </si>
  <si>
    <t>[81300]    Entertainment expenses</t>
  </si>
  <si>
    <t>[81400]    Communication expenses</t>
  </si>
  <si>
    <t>[81600]    Electricity</t>
  </si>
  <si>
    <t>[81601]    GM Housing Utility Fee</t>
  </si>
  <si>
    <t>[81700]    Taxes and dues</t>
  </si>
  <si>
    <t>[81900]    Rental expenses</t>
  </si>
  <si>
    <t>[81902]    Equipment Hire Rental</t>
  </si>
  <si>
    <t>[82100]    Insurance premium</t>
  </si>
  <si>
    <t>[82200]    Vehicles maintenance expenses</t>
  </si>
  <si>
    <t>[82400]    Freight expenses</t>
  </si>
  <si>
    <t>[82600]    Subscriptions</t>
  </si>
  <si>
    <t>[83000]    Supplies expenses</t>
  </si>
  <si>
    <t>[83100]    General Consultancy Services</t>
  </si>
  <si>
    <t>[83101]    Secondment Charges</t>
  </si>
  <si>
    <t>[83102]    Bank Charges</t>
  </si>
  <si>
    <t>Ⅴ. Operating loss</t>
  </si>
  <si>
    <t>Ⅵ. N/operating income</t>
  </si>
  <si>
    <t>[90100]    Interest revenues</t>
  </si>
  <si>
    <t>[90700]    Gains on foreign currency transaction</t>
  </si>
  <si>
    <t>[93000]    Miscellaneous revenues</t>
  </si>
  <si>
    <t>Ⅶ. N/operating expenses</t>
  </si>
  <si>
    <t>[93200]    Foreign Exchange Loss</t>
  </si>
  <si>
    <t>Ⅷ. Net loss before corporate tax</t>
  </si>
  <si>
    <t>Ⅸ. Corporate tax etc</t>
  </si>
  <si>
    <t>[99800]    Corporate tax etc</t>
  </si>
  <si>
    <t>765030</t>
  </si>
  <si>
    <t>990010</t>
  </si>
  <si>
    <t>80200</t>
  </si>
  <si>
    <t>571001</t>
  </si>
  <si>
    <t>81100</t>
  </si>
  <si>
    <t>702020</t>
  </si>
  <si>
    <t>81200</t>
  </si>
  <si>
    <t>710600</t>
  </si>
  <si>
    <t>출장비</t>
  </si>
  <si>
    <t>81300</t>
  </si>
  <si>
    <t>710500</t>
  </si>
  <si>
    <t>81400</t>
  </si>
  <si>
    <t>710240</t>
  </si>
  <si>
    <t>통신비</t>
  </si>
  <si>
    <t>81600</t>
  </si>
  <si>
    <t>710210</t>
  </si>
  <si>
    <t>81601</t>
  </si>
  <si>
    <t>702040</t>
  </si>
  <si>
    <t>81900</t>
  </si>
  <si>
    <t>710200</t>
  </si>
  <si>
    <t>81902</t>
  </si>
  <si>
    <t>661050</t>
  </si>
  <si>
    <t>장비 임차료</t>
  </si>
  <si>
    <t>82200</t>
  </si>
  <si>
    <t>643000</t>
  </si>
  <si>
    <t>82400</t>
  </si>
  <si>
    <t>697030</t>
  </si>
  <si>
    <t>710760</t>
  </si>
  <si>
    <t>83000</t>
  </si>
  <si>
    <t>710120</t>
  </si>
  <si>
    <t>83100</t>
  </si>
  <si>
    <t>662100</t>
  </si>
  <si>
    <t>83101</t>
  </si>
  <si>
    <t>500200</t>
  </si>
  <si>
    <t>83102</t>
  </si>
  <si>
    <t>701010</t>
  </si>
  <si>
    <t>701030</t>
  </si>
  <si>
    <t>82100</t>
  </si>
  <si>
    <t>703007</t>
  </si>
  <si>
    <t>81101</t>
  </si>
  <si>
    <t>EY code</t>
    <phoneticPr fontId="5" type="noConversion"/>
  </si>
  <si>
    <t>Qatar code</t>
    <phoneticPr fontId="5" type="noConversion"/>
  </si>
  <si>
    <t>80200</t>
    <phoneticPr fontId="5" type="noConversion"/>
  </si>
  <si>
    <t>80300</t>
    <phoneticPr fontId="5" type="noConversion"/>
  </si>
  <si>
    <t>81100</t>
    <phoneticPr fontId="5" type="noConversion"/>
  </si>
  <si>
    <t>81101</t>
    <phoneticPr fontId="5" type="noConversion"/>
  </si>
  <si>
    <t>81200</t>
    <phoneticPr fontId="5" type="noConversion"/>
  </si>
  <si>
    <t>81300</t>
    <phoneticPr fontId="5" type="noConversion"/>
  </si>
  <si>
    <t>81400</t>
    <phoneticPr fontId="5" type="noConversion"/>
  </si>
  <si>
    <t>81600</t>
    <phoneticPr fontId="5" type="noConversion"/>
  </si>
  <si>
    <t>81601</t>
    <phoneticPr fontId="5" type="noConversion"/>
  </si>
  <si>
    <t>81700</t>
    <phoneticPr fontId="5" type="noConversion"/>
  </si>
  <si>
    <t>81900</t>
    <phoneticPr fontId="5" type="noConversion"/>
  </si>
  <si>
    <t>81902</t>
    <phoneticPr fontId="5" type="noConversion"/>
  </si>
  <si>
    <t>82100</t>
    <phoneticPr fontId="5" type="noConversion"/>
  </si>
  <si>
    <t>82200</t>
    <phoneticPr fontId="5" type="noConversion"/>
  </si>
  <si>
    <t>82400</t>
    <phoneticPr fontId="5" type="noConversion"/>
  </si>
  <si>
    <t>82600</t>
    <phoneticPr fontId="5" type="noConversion"/>
  </si>
  <si>
    <t>83000</t>
    <phoneticPr fontId="5" type="noConversion"/>
  </si>
  <si>
    <t>83100</t>
    <phoneticPr fontId="5" type="noConversion"/>
  </si>
  <si>
    <t>83101</t>
    <phoneticPr fontId="5" type="noConversion"/>
  </si>
  <si>
    <t>83102</t>
    <phoneticPr fontId="5" type="noConversion"/>
  </si>
  <si>
    <t>90100</t>
    <phoneticPr fontId="5" type="noConversion"/>
  </si>
  <si>
    <t>93000</t>
    <phoneticPr fontId="5" type="noConversion"/>
  </si>
  <si>
    <t>90700</t>
    <phoneticPr fontId="5" type="noConversion"/>
  </si>
  <si>
    <t>93200</t>
    <phoneticPr fontId="5" type="noConversion"/>
  </si>
  <si>
    <t>99800</t>
    <phoneticPr fontId="5" type="noConversion"/>
  </si>
  <si>
    <t>total</t>
    <phoneticPr fontId="5" type="noConversion"/>
  </si>
  <si>
    <t>Account Name</t>
    <phoneticPr fontId="5" type="noConversion"/>
  </si>
  <si>
    <t>[91000]    Foreign Exchange Gain</t>
    <phoneticPr fontId="5" type="noConversion"/>
  </si>
  <si>
    <t>91000</t>
    <phoneticPr fontId="5" type="noConversion"/>
  </si>
  <si>
    <t>[80800]    Retirement benefits</t>
  </si>
  <si>
    <t>80800</t>
    <phoneticPr fontId="5" type="noConversion"/>
  </si>
  <si>
    <t>KRW</t>
    <phoneticPr fontId="5" type="noConversion"/>
  </si>
  <si>
    <t>USD</t>
    <phoneticPr fontId="5" type="noConversion"/>
  </si>
  <si>
    <t>Total Cost</t>
  </si>
  <si>
    <t>Add Markup 6%</t>
  </si>
  <si>
    <t>AVERAGE RATE</t>
  </si>
  <si>
    <t>Waqas</t>
  </si>
  <si>
    <t>Revenue / Cost recoveries</t>
  </si>
  <si>
    <t>Revenue</t>
    <phoneticPr fontId="5" type="noConversion"/>
  </si>
  <si>
    <t>QATAR ENERGY Seoul, LLC</t>
  </si>
  <si>
    <t xml:space="preserve">Income : cost plus mark up 6% </t>
  </si>
  <si>
    <t>As at  31 January 2026</t>
  </si>
  <si>
    <t>Account Code</t>
  </si>
  <si>
    <t>Description</t>
  </si>
  <si>
    <t>YTD -Amounts USD</t>
  </si>
  <si>
    <t>Salaries and wages expense</t>
  </si>
  <si>
    <t>Employee benefits expense</t>
  </si>
  <si>
    <t>Social security expense</t>
  </si>
  <si>
    <t>Travel expense</t>
  </si>
  <si>
    <t>Entertainment expense</t>
  </si>
  <si>
    <t>Communication expense</t>
  </si>
  <si>
    <t>Utilities expense</t>
  </si>
  <si>
    <t>Staff housing utilities</t>
  </si>
  <si>
    <t>Short‑term lease / rent expense</t>
  </si>
  <si>
    <t>Equipment rental expense</t>
  </si>
  <si>
    <t>Insurance expense</t>
  </si>
  <si>
    <t>Vehicle maintenance expense</t>
  </si>
  <si>
    <t>Cleaning &amp; Maintainence</t>
  </si>
  <si>
    <t>Freight and logistics expense</t>
  </si>
  <si>
    <t>Office supplies expense</t>
  </si>
  <si>
    <t>Professional fees</t>
  </si>
  <si>
    <t>Bank charges</t>
  </si>
  <si>
    <t>Staff secondment cost</t>
  </si>
  <si>
    <t>Dues &amp; Subscriptions</t>
  </si>
  <si>
    <t>82300</t>
  </si>
  <si>
    <t>83103</t>
  </si>
  <si>
    <t>Expense Differ</t>
    <phoneticPr fontId="5" type="noConversion"/>
  </si>
  <si>
    <t>Revenue / Cost recoveries Differ</t>
    <phoneticPr fontId="5" type="noConversion"/>
  </si>
  <si>
    <t>Revenue / Cost recoveries</t>
    <phoneticPr fontId="19" type="noConversion"/>
  </si>
  <si>
    <t>Bonus</t>
  </si>
  <si>
    <t>As at 28 February 2026</t>
  </si>
  <si>
    <t>As at 31 March 2026</t>
  </si>
  <si>
    <t>Income Tax Expense</t>
  </si>
  <si>
    <t>Retirement Benefits</t>
  </si>
  <si>
    <t>As at 30 April 2026</t>
  </si>
  <si>
    <t>PL</t>
  </si>
  <si>
    <t>PL</t>
    <phoneticPr fontId="5" type="noConversion"/>
  </si>
  <si>
    <t>81110</t>
  </si>
  <si>
    <t>85000</t>
  </si>
  <si>
    <t>Pertains to End of Service benefit for Mr. Song Huisok(81800)</t>
    <phoneticPr fontId="5" type="noConversion"/>
  </si>
  <si>
    <t>81800</t>
  </si>
  <si>
    <t>급여 및 임금</t>
  </si>
  <si>
    <t>종업원 복리후생비</t>
  </si>
  <si>
    <t>사회보험료</t>
  </si>
  <si>
    <t>접대비</t>
  </si>
  <si>
    <t>공과금</t>
  </si>
  <si>
    <t>임직원 숙소 공과금</t>
  </si>
  <si>
    <t>단기 임차료 / 임대료</t>
  </si>
  <si>
    <t>보험료</t>
  </si>
  <si>
    <t>차량 유지비</t>
  </si>
  <si>
    <t>청소 및 시설유지비</t>
  </si>
  <si>
    <t>운송 및 물류비</t>
  </si>
  <si>
    <t>사무용품비</t>
  </si>
  <si>
    <t>외주용역비 / 전문가 수수료</t>
  </si>
  <si>
    <t>은행수수료</t>
  </si>
  <si>
    <t>파견 인력 비용</t>
  </si>
  <si>
    <t>회비 및 구독료</t>
  </si>
  <si>
    <t>Korea</t>
    <phoneticPr fontId="5" type="noConversion"/>
  </si>
  <si>
    <t>상여금</t>
  </si>
  <si>
    <t>법인세 비용</t>
  </si>
  <si>
    <t>퇴직급여</t>
  </si>
  <si>
    <t>Co Code</t>
  </si>
  <si>
    <t>Reference</t>
  </si>
  <si>
    <t>Doc. Type</t>
  </si>
  <si>
    <t>Document Date</t>
  </si>
  <si>
    <t>Posting Date</t>
  </si>
  <si>
    <t>Posting Period</t>
    <phoneticPr fontId="23" type="noConversion"/>
  </si>
  <si>
    <t>Doc. HeaderText</t>
  </si>
  <si>
    <t>Reversal Date</t>
  </si>
  <si>
    <t>Doc Currency</t>
  </si>
  <si>
    <t>Pstky</t>
  </si>
  <si>
    <t>Local Account</t>
  </si>
  <si>
    <t>Pymt Term</t>
  </si>
  <si>
    <t>Amount In Doc Curr(USD)</t>
    <phoneticPr fontId="23" type="noConversion"/>
  </si>
  <si>
    <t>Amount In Local Curr(KRW)</t>
  </si>
  <si>
    <t>Amt in 2nd Curr</t>
  </si>
  <si>
    <t>Cost Center</t>
  </si>
  <si>
    <t>Profit Center</t>
  </si>
  <si>
    <t>Value Date</t>
  </si>
  <si>
    <t>Assignment</t>
  </si>
  <si>
    <t>Line Item Text</t>
  </si>
  <si>
    <t>Ref Key 1</t>
  </si>
  <si>
    <t>Ref Key 2</t>
  </si>
  <si>
    <t>Ref Key 3</t>
  </si>
  <si>
    <t>4 CHAR</t>
  </si>
  <si>
    <t>16 CHAR</t>
  </si>
  <si>
    <t>2 CHAR</t>
  </si>
  <si>
    <t>31.12.2023</t>
  </si>
  <si>
    <t>25 CHAR</t>
  </si>
  <si>
    <t>-</t>
  </si>
  <si>
    <t>5 CHAR</t>
  </si>
  <si>
    <t>10 CHAR</t>
  </si>
  <si>
    <t>18 CHAR</t>
  </si>
  <si>
    <t>50 CHAR</t>
  </si>
  <si>
    <t>12 CHAR</t>
  </si>
  <si>
    <t>20 CHAR</t>
  </si>
  <si>
    <t>Qatar Energy Seoul Office</t>
  </si>
  <si>
    <t>SA</t>
  </si>
  <si>
    <t>05</t>
  </si>
  <si>
    <t>January Closing_2026</t>
  </si>
  <si>
    <t>USD</t>
  </si>
  <si>
    <t>BS8</t>
  </si>
  <si>
    <t>HANA BANK KR KRW CLRG CURRENT (24104)</t>
  </si>
  <si>
    <t>00001</t>
  </si>
  <si>
    <t>1.21.2026</t>
  </si>
  <si>
    <t>03</t>
  </si>
  <si>
    <t>Non-trade payables</t>
  </si>
  <si>
    <t>BS14</t>
  </si>
  <si>
    <t>Air Support Services(Nexus Jet Co., Ltd.)</t>
  </si>
  <si>
    <t>JV260100005</t>
    <phoneticPr fontId="23" type="noConversion"/>
  </si>
  <si>
    <t>PL10</t>
  </si>
  <si>
    <t>JV260100005</t>
  </si>
  <si>
    <t>Value added taxReceivable</t>
  </si>
  <si>
    <t>BS3</t>
  </si>
  <si>
    <t>Air Support Services VAT (Nexus Jet Co., Ltd.)</t>
  </si>
  <si>
    <t>50001</t>
  </si>
  <si>
    <t>1.25.2026</t>
  </si>
  <si>
    <t>Room 222-4067 G80 (G) 3.5T 19"A (Hyper Silver)/SDS2+ECS 4WD AT (Lotte Rental Co., Ltd.)</t>
  </si>
  <si>
    <t>JV260100007</t>
    <phoneticPr fontId="23" type="noConversion"/>
  </si>
  <si>
    <t>PL8</t>
  </si>
  <si>
    <t>VAT</t>
  </si>
  <si>
    <t>JV260100007</t>
  </si>
  <si>
    <t>BS11</t>
  </si>
  <si>
    <t>1.27.2026</t>
  </si>
  <si>
    <t>00002</t>
  </si>
  <si>
    <t>BS7</t>
  </si>
  <si>
    <t>PV260100017</t>
    <phoneticPr fontId="23" type="noConversion"/>
  </si>
  <si>
    <t>PL13</t>
  </si>
  <si>
    <t>PV260100017</t>
  </si>
  <si>
    <t>Room 222-4067 G80 (G) 3.5T 19"A (Hyper Silver)/SDS2+ECS 4WD AT (Lotte Rental Co., Ltd.)</t>
    <phoneticPr fontId="5" type="noConversion"/>
  </si>
  <si>
    <t>DHL Delivery (Jan 2026)(HANA BANK KRW(24104))</t>
    <phoneticPr fontId="5" type="noConversion"/>
  </si>
  <si>
    <t>DHL Delivery (Jan 2026)</t>
    <phoneticPr fontId="5" type="noConversion"/>
  </si>
  <si>
    <t>USD 258.21</t>
  </si>
  <si>
    <t>mark up 6%</t>
    <phoneticPr fontId="5" type="noConversion"/>
  </si>
  <si>
    <t>Total</t>
    <phoneticPr fontId="5" type="noConversion"/>
  </si>
  <si>
    <t>*Additional issuance of USD 273.71 for January 2026 accrual is required.</t>
    <phoneticPr fontId="5" type="noConversion"/>
  </si>
  <si>
    <t>2.10.2026</t>
  </si>
  <si>
    <t>February Closing_2026</t>
  </si>
  <si>
    <t>HANA BANK KR KRW CLRG CURRENT (56404)</t>
  </si>
  <si>
    <t>Withholding Payable</t>
  </si>
  <si>
    <t>Health Insurance &amp;Long-Term Care Insurance (Jan 2026)(HANA BANK KRW(56404))</t>
  </si>
  <si>
    <t>PV2602011</t>
  </si>
  <si>
    <t>Health Insurance (Jan 2026)(Health Insurance)</t>
  </si>
  <si>
    <t>Social Insurance</t>
  </si>
  <si>
    <t>Health Insurance (Jan 2026)(Health Insurance) Employer contribution</t>
  </si>
  <si>
    <t>Long-Term Care Insurance (Jan 2026)(Long-Term Care Insurance)</t>
  </si>
  <si>
    <t>Long-Term Care Insurance (Jan 2026)(Long-Term Care Insurance) Employer contribution</t>
  </si>
  <si>
    <t>FX Gain/Loss</t>
  </si>
  <si>
    <t>FX Gain on Withholding Payable</t>
  </si>
  <si>
    <t>National Pension (Jan 2026)(HANA BANK KRW(56404))</t>
  </si>
  <si>
    <t>PV2602012</t>
  </si>
  <si>
    <t>National Pension (Jan 2026)(National Pension)</t>
  </si>
  <si>
    <t>Employment Insurance (Jan 2026)(HANA BANK KRW(56404))</t>
  </si>
  <si>
    <t>PV2602013</t>
  </si>
  <si>
    <t>Employment Insurance (Jan 2026)(Employment Insurance)</t>
  </si>
  <si>
    <t>Industrial Accident Insurance (Jan 2026)(HANA BANK KRW(56404))</t>
  </si>
  <si>
    <t>PV2602014</t>
  </si>
  <si>
    <t>Industrial Accident Insurance (Jan 2026)(Industrial Accident Insurance)</t>
  </si>
  <si>
    <t>2.28.2026</t>
  </si>
  <si>
    <t>06</t>
  </si>
  <si>
    <t>Prepaid expenses</t>
  </si>
  <si>
    <t>25.06.2025</t>
  </si>
  <si>
    <t>PL3</t>
  </si>
  <si>
    <t>Room Charge (June 22 – July 22)</t>
  </si>
  <si>
    <t>JV2602014</t>
  </si>
  <si>
    <t>26.06.2025</t>
  </si>
  <si>
    <t>Payroll fund transfer</t>
  </si>
  <si>
    <t>JV2602015</t>
  </si>
  <si>
    <t>BS4</t>
  </si>
  <si>
    <t>Yeojin Kwak-Test</t>
  </si>
  <si>
    <t>JV2602016</t>
  </si>
  <si>
    <t>BS1</t>
  </si>
  <si>
    <t>Seulji Yoon-Test</t>
  </si>
  <si>
    <t>JV2602017</t>
  </si>
  <si>
    <t>Jesung Choi-Test</t>
  </si>
  <si>
    <t>JV2602018</t>
  </si>
  <si>
    <t>2.1.2026</t>
  </si>
  <si>
    <t>16.06.2025</t>
  </si>
  <si>
    <t>penny test</t>
  </si>
  <si>
    <t>JV2602002</t>
  </si>
  <si>
    <t>Rent expense</t>
  </si>
  <si>
    <t>JV2602002</t>
    <phoneticPr fontId="23" type="noConversion"/>
  </si>
  <si>
    <t>2.26.2026</t>
  </si>
  <si>
    <t>Office Internet(HANA BANK KRW(24104))</t>
  </si>
  <si>
    <t>PV2602027</t>
  </si>
  <si>
    <t>Office Internet(KT Corporation)</t>
  </si>
  <si>
    <t>PV2602027</t>
    <phoneticPr fontId="23" type="noConversion"/>
  </si>
  <si>
    <t>*Due to duplicate application of communication expenses, it needs to be excluded</t>
    <phoneticPr fontId="5" type="noConversion"/>
  </si>
  <si>
    <t>*It appears to be due to exchange rate differences. Please kindly confirm the amount entered for the invoice.</t>
    <phoneticPr fontId="5" type="noConversion"/>
  </si>
  <si>
    <t>3.30.2026</t>
  </si>
  <si>
    <t>March Closing_2026</t>
  </si>
  <si>
    <t>Employee Housing (Mar 2026)(Michelan Apartment(Samseong-d))</t>
  </si>
  <si>
    <t>JV2603020</t>
  </si>
  <si>
    <t>JV2603020</t>
    <phoneticPr fontId="23" type="noConversion"/>
  </si>
  <si>
    <t>Office supplies(Kinskin Korea Co., Ltd.)</t>
  </si>
  <si>
    <t>JV2603001</t>
  </si>
  <si>
    <t>Kinskin Korea Co., Ltd.(Kinskin Korea Co., Ltd.)</t>
  </si>
  <si>
    <t>3.3.2026</t>
  </si>
  <si>
    <t>(주)베스트문구(HANA BANK KRW(24104))</t>
  </si>
  <si>
    <t>PV2603001</t>
  </si>
  <si>
    <t>Office supplies</t>
  </si>
  <si>
    <t>PV2603001</t>
    <phoneticPr fontId="23" type="noConversion"/>
  </si>
  <si>
    <t>Prepaid income taxes</t>
  </si>
  <si>
    <t>CIT2025(Yeoksam Tax Office)</t>
  </si>
  <si>
    <t>JV2603018</t>
    <phoneticPr fontId="23" type="noConversion"/>
  </si>
  <si>
    <t>LCIT2025(Gangnam-gu Office)</t>
  </si>
  <si>
    <t>JV2603018</t>
  </si>
  <si>
    <t>3.29.2026</t>
  </si>
  <si>
    <t>CIT2025(HANA BANK KRW(24104))</t>
  </si>
  <si>
    <t>PV2603026</t>
  </si>
  <si>
    <t>PV2603026</t>
    <phoneticPr fontId="23" type="noConversion"/>
  </si>
  <si>
    <t>LCIT2025(HANA BANK KRW(24104))</t>
  </si>
  <si>
    <t>PV2603027</t>
  </si>
  <si>
    <t>VAT Receivable(Gangnam Finance Center Co., Ltd.)</t>
  </si>
  <si>
    <t>JV2603003</t>
  </si>
  <si>
    <t>Office Maintenance Fee (Mar 2026)(Gangnam Finance Center Co., Ltd.)</t>
  </si>
  <si>
    <t>JV2603004</t>
  </si>
  <si>
    <t>Office Rent (Mar 2026)(Gangnam Finance Center Co., Ltd.)</t>
  </si>
  <si>
    <t>Fire Insurance (Mar 2026)(Samsung Fire &amp; Marine Insuranc)</t>
  </si>
  <si>
    <t>JV2603021</t>
  </si>
  <si>
    <t>DOL Insurance(Mar 2026)(AIG Insurance)</t>
  </si>
  <si>
    <t>JV2603022</t>
  </si>
  <si>
    <t>CGL Insurance(Feb 2026)(AIG Insurance)</t>
  </si>
  <si>
    <t>JV2603023</t>
  </si>
  <si>
    <t>JV2603002</t>
  </si>
  <si>
    <t>Electricity Charges (Mar 2026)(Gangnam Finance Center Co., Ltd.)</t>
  </si>
  <si>
    <t>JV2603002</t>
    <phoneticPr fontId="23" type="noConversion"/>
  </si>
  <si>
    <t>*An invoice adjustment to deduct the amount is required</t>
  </si>
  <si>
    <t>*Additional issuance of USD 273.71 for January 2026 accrual is required.</t>
  </si>
  <si>
    <t>Total</t>
    <phoneticPr fontId="5" type="noConversion"/>
  </si>
  <si>
    <t>USD586.10</t>
    <phoneticPr fontId="5" type="noConversion"/>
  </si>
  <si>
    <t>USD866.96</t>
    <phoneticPr fontId="5" type="noConversion"/>
  </si>
  <si>
    <t>Invoice already issued</t>
    <phoneticPr fontId="5" type="noConversion"/>
  </si>
  <si>
    <t>Additions and adjustments</t>
    <phoneticPr fontId="5" type="noConversion"/>
  </si>
  <si>
    <t>*VAT (code 135) is not deductible for entertainment expenses (81300).</t>
    <phoneticPr fontId="5" type="noConversion"/>
  </si>
  <si>
    <t>*The input VAT (135) for this vehicle is non-deductible due to vehicle-related restrictions and is processed as disallowed input VAT on a monthly basis.</t>
    <phoneticPr fontId="5" type="noConversion"/>
  </si>
  <si>
    <t>*This should not be recorded as accrued expenses.</t>
    <phoneticPr fontId="5" type="noConversion"/>
  </si>
  <si>
    <t>4.23.2026</t>
  </si>
  <si>
    <t>April Closing_2026</t>
  </si>
  <si>
    <t>4.30.2026</t>
  </si>
  <si>
    <t>Business Certificate Fee(((주)하나은행)</t>
  </si>
  <si>
    <t>JV2604007</t>
    <phoneticPr fontId="23" type="noConversion"/>
  </si>
  <si>
    <t>*KRW 325,339,425</t>
    <phoneticPr fontId="5" type="noConversion"/>
  </si>
  <si>
    <t>4.10.2026</t>
  </si>
  <si>
    <t>FX Loss on Withholding Payable</t>
  </si>
  <si>
    <t>PV26040012</t>
  </si>
  <si>
    <t>Local Income Tax(Mar 2026)(Gangnam-gu Office)</t>
  </si>
  <si>
    <t>PV26040013</t>
  </si>
  <si>
    <t>Health Insurance (Mar 2026)(Health Insurance)</t>
  </si>
  <si>
    <t>Employment Insurance (Mar 2026)(HANA BANK KRW(56404))</t>
  </si>
  <si>
    <t>PV26040015</t>
  </si>
  <si>
    <t>*KRW 78,749,835</t>
    <phoneticPr fontId="5" type="noConversion"/>
  </si>
  <si>
    <t>JV2604002</t>
  </si>
  <si>
    <t>Electricity Charges (Apr 2026)(Gangnam Finance Center Co., Ltd.)</t>
  </si>
  <si>
    <t>JV2604003</t>
  </si>
  <si>
    <t>Office Maintenance Fee (Apr 2026)(Gangnam Finance Center Co., Ltd.)</t>
  </si>
  <si>
    <t>PV26040013</t>
    <phoneticPr fontId="5" type="noConversion"/>
  </si>
  <si>
    <t>4.29.2026</t>
  </si>
  <si>
    <t>222호4067 G80 (G)3.5T 19&amp;quot;A(하이퍼실버)/SDS2+ECS 4WD AT(Lotte Rental Co., Ltd.)</t>
  </si>
  <si>
    <t>JV2604016</t>
  </si>
  <si>
    <t>Electricity Charges Paid for march in (Feb 2026)(Gangnam Finance Center Co., Ltd.)</t>
  </si>
  <si>
    <t>JV2604019</t>
  </si>
  <si>
    <t>4.9.2026</t>
  </si>
  <si>
    <t>Railway Ticket</t>
  </si>
  <si>
    <t>PV26040008</t>
  </si>
  <si>
    <t>4.15.2026</t>
  </si>
  <si>
    <t>Jamsil Energy Co., Ltd. – Vehicle Fuel</t>
  </si>
  <si>
    <t>PV26040017</t>
  </si>
  <si>
    <t>4.16.2026</t>
  </si>
  <si>
    <t>Office Supplies(TV)</t>
  </si>
  <si>
    <t>PV26040025</t>
  </si>
  <si>
    <t>PV26040034</t>
  </si>
  <si>
    <t>Business trip(Ahn Song)</t>
  </si>
  <si>
    <t>PV26040051</t>
  </si>
  <si>
    <t>JV2604020</t>
  </si>
  <si>
    <t>Fire Insurance (Apr 2026)(Samsung Fire &amp; Marine Insuranc)</t>
  </si>
  <si>
    <t>JV2604021</t>
  </si>
  <si>
    <t>DOL Insurance(Apr 2026)(AIG Insurance)</t>
  </si>
  <si>
    <t>JV2604022</t>
  </si>
  <si>
    <t>Mark up6%</t>
    <phoneticPr fontId="5" type="noConversion"/>
  </si>
  <si>
    <t>*Additional issuance of USD 273.71 for January 2026 accrual is required.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</si>
</sst>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_-* #,##0.00_-;\-* #,##0.00_-;_-* &quot;-&quot;_-;_-@_-"/>
    <numFmt numFmtId="178" formatCode="0.0000"/>
    <numFmt numFmtId="179" formatCode="_(* #,##0.00_);_(* \(#,##0.00\);_(* &quot;-&quot;??_);_(@_)"/>
    <numFmt numFmtId="180" formatCode="_ * #,##0.00_ ;_ * \-#,##0.00_ ;_ * &quot;-&quot;??_ ;_ @_ "/>
    <numFmt numFmtId="181" formatCode="yyyy\-mm\-dd;@"/>
  </numFmts>
  <fonts count="30">
    <font>
      <sz val="10"/>
      <color rgb="FF000000"/>
      <name val="Tahoma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000000"/>
      <name val="Tahoma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color rgb="FF000000"/>
      <name val="Tahoma"/>
      <family val="2"/>
    </font>
    <font>
      <b/>
      <sz val="11"/>
      <color rgb="FF000000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242424"/>
      <name val="Segoe UI"/>
      <family val="2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4"/>
      <name val="AngsanaUPC"/>
      <family val="1"/>
      <charset val="222"/>
    </font>
    <font>
      <b/>
      <sz val="12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8.1"/>
      <color indexed="8"/>
      <name val="Futura LtCn BT"/>
      <family val="2"/>
    </font>
    <font>
      <sz val="11"/>
      <color rgb="FF000000"/>
      <name val="Segoe UI"/>
      <family val="2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0"/>
      <color rgb="FF000000"/>
      <name val="Tahoma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Tahoma"/>
      <family val="2"/>
    </font>
    <font>
      <sz val="10"/>
      <color rgb="FFFF0000"/>
      <name val="Tahoma"/>
      <family val="2"/>
    </font>
    <font>
      <sz val="10"/>
      <color rgb="FF424242"/>
      <name val="Aptos"/>
      <family val="2"/>
    </font>
    <font>
      <sz val="1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E0F6D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FFFFFF"/>
      </top>
      <bottom style="thin">
        <color rgb="FFB3B3B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3B3B3"/>
      </left>
      <right/>
      <top style="thin">
        <color rgb="FFFFFFFF"/>
      </top>
      <bottom style="thin">
        <color rgb="FFB3B3B3"/>
      </bottom>
      <diagonal/>
    </border>
    <border>
      <left style="thin">
        <color rgb="FFB3B3B3"/>
      </left>
      <right/>
      <top style="thin">
        <color rgb="FFB3B3B3"/>
      </top>
      <bottom style="thin">
        <color rgb="FFB3B3B3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B3B3B3"/>
      </right>
      <top style="medium">
        <color indexed="64"/>
      </top>
      <bottom style="thin">
        <color rgb="FFB3B3B3"/>
      </bottom>
      <diagonal/>
    </border>
    <border>
      <left style="thin">
        <color rgb="FFB3B3B3"/>
      </left>
      <right style="medium">
        <color indexed="64"/>
      </right>
      <top style="medium">
        <color indexed="64"/>
      </top>
      <bottom style="thin">
        <color rgb="FFB3B3B3"/>
      </bottom>
      <diagonal/>
    </border>
    <border>
      <left style="medium">
        <color indexed="64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 style="thin">
        <color rgb="FFB3B3B3"/>
      </left>
      <right style="medium">
        <color indexed="64"/>
      </right>
      <top style="thin">
        <color rgb="FFB3B3B3"/>
      </top>
      <bottom style="thin">
        <color rgb="FFB3B3B3"/>
      </bottom>
      <diagonal/>
    </border>
    <border>
      <left style="medium">
        <color indexed="64"/>
      </left>
      <right style="thin">
        <color rgb="FFB3B3B3"/>
      </right>
      <top style="thin">
        <color rgb="FFB3B3B3"/>
      </top>
      <bottom style="medium">
        <color indexed="64"/>
      </bottom>
      <diagonal/>
    </border>
    <border>
      <left style="thin">
        <color rgb="FFB3B3B3"/>
      </left>
      <right style="medium">
        <color indexed="64"/>
      </right>
      <top style="thin">
        <color rgb="FFB3B3B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3B3B3"/>
      </bottom>
      <diagonal/>
    </border>
    <border>
      <left/>
      <right style="medium">
        <color indexed="64"/>
      </right>
      <top style="medium">
        <color indexed="64"/>
      </top>
      <bottom style="thin">
        <color rgb="FFB3B3B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B3B3B3"/>
      </left>
      <right/>
      <top style="medium">
        <color indexed="64"/>
      </top>
      <bottom style="thin">
        <color rgb="FFB3B3B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3B3B3"/>
      </left>
      <right style="thin">
        <color rgb="FFB3B3B3"/>
      </right>
      <top/>
      <bottom style="thin">
        <color rgb="FFB3B3B3"/>
      </bottom>
      <diagonal/>
    </border>
  </borders>
  <cellStyleXfs count="10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12" fillId="0" borderId="0"/>
    <xf numFmtId="0" fontId="14" fillId="0" borderId="0"/>
    <xf numFmtId="0" fontId="15" fillId="0" borderId="0"/>
    <xf numFmtId="179" fontId="17" fillId="0" borderId="0" applyFont="0" applyFill="0" applyBorder="0" applyAlignment="0" applyProtection="0"/>
    <xf numFmtId="180" fontId="14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2" fillId="3" borderId="5" xfId="0" applyFont="1" applyFill="1" applyBorder="1">
      <alignment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4" xfId="0" applyFont="1" applyFill="1" applyBorder="1" applyAlignment="1">
      <alignment horizontal="center" vertical="center"/>
    </xf>
    <xf numFmtId="41" fontId="1" fillId="2" borderId="4" xfId="1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1" fontId="1" fillId="4" borderId="10" xfId="1" applyFont="1" applyFill="1" applyBorder="1" applyAlignment="1">
      <alignment horizontal="left" vertical="center"/>
    </xf>
    <xf numFmtId="177" fontId="1" fillId="4" borderId="11" xfId="1" applyNumberFormat="1" applyFont="1" applyFill="1" applyBorder="1" applyAlignment="1">
      <alignment horizontal="left" vertical="center"/>
    </xf>
    <xf numFmtId="3" fontId="1" fillId="2" borderId="10" xfId="0" applyNumberFormat="1" applyFont="1" applyFill="1" applyBorder="1" applyAlignment="1">
      <alignment horizontal="right" vertical="center"/>
    </xf>
    <xf numFmtId="177" fontId="1" fillId="2" borderId="11" xfId="0" applyNumberFormat="1" applyFont="1" applyFill="1" applyBorder="1" applyAlignment="1">
      <alignment horizontal="right" vertical="center"/>
    </xf>
    <xf numFmtId="41" fontId="1" fillId="2" borderId="10" xfId="1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41" fontId="1" fillId="4" borderId="10" xfId="0" applyNumberFormat="1" applyFont="1" applyFill="1" applyBorder="1" applyAlignment="1">
      <alignment horizontal="left" vertical="center"/>
    </xf>
    <xf numFmtId="41" fontId="1" fillId="4" borderId="11" xfId="0" applyNumberFormat="1" applyFont="1" applyFill="1" applyBorder="1" applyAlignment="1">
      <alignment horizontal="left" vertical="center"/>
    </xf>
    <xf numFmtId="41" fontId="1" fillId="2" borderId="11" xfId="1" applyFont="1" applyFill="1" applyBorder="1" applyAlignment="1">
      <alignment horizontal="left" vertical="center"/>
    </xf>
    <xf numFmtId="177" fontId="1" fillId="2" borderId="11" xfId="1" applyNumberFormat="1" applyFont="1" applyFill="1" applyBorder="1" applyAlignment="1">
      <alignment horizontal="left" vertical="center"/>
    </xf>
    <xf numFmtId="41" fontId="1" fillId="0" borderId="10" xfId="1" applyFont="1" applyFill="1" applyBorder="1" applyAlignment="1">
      <alignment horizontal="left" vertical="center"/>
    </xf>
    <xf numFmtId="41" fontId="10" fillId="0" borderId="10" xfId="1" applyFont="1" applyBorder="1">
      <alignment vertical="center"/>
    </xf>
    <xf numFmtId="177" fontId="10" fillId="0" borderId="11" xfId="1" applyNumberFormat="1" applyFont="1" applyBorder="1">
      <alignment vertical="center"/>
    </xf>
    <xf numFmtId="0" fontId="10" fillId="0" borderId="4" xfId="0" applyFont="1" applyBorder="1">
      <alignment vertical="center"/>
    </xf>
    <xf numFmtId="41" fontId="10" fillId="0" borderId="12" xfId="1" applyFont="1" applyBorder="1">
      <alignment vertical="center"/>
    </xf>
    <xf numFmtId="177" fontId="10" fillId="0" borderId="13" xfId="1" applyNumberFormat="1" applyFont="1" applyBorder="1">
      <alignment vertical="center"/>
    </xf>
    <xf numFmtId="0" fontId="10" fillId="0" borderId="0" xfId="0" applyFont="1">
      <alignment vertical="center"/>
    </xf>
    <xf numFmtId="41" fontId="10" fillId="0" borderId="0" xfId="0" applyNumberFormat="1" applyFont="1">
      <alignment vertical="center"/>
    </xf>
    <xf numFmtId="41" fontId="10" fillId="6" borderId="0" xfId="0" applyNumberFormat="1" applyFont="1" applyFill="1">
      <alignment vertical="center"/>
    </xf>
    <xf numFmtId="41" fontId="10" fillId="6" borderId="0" xfId="1" applyFont="1" applyFill="1">
      <alignment vertical="center"/>
    </xf>
    <xf numFmtId="177" fontId="10" fillId="6" borderId="0" xfId="1" applyNumberFormat="1" applyFont="1" applyFill="1">
      <alignment vertical="center"/>
    </xf>
    <xf numFmtId="0" fontId="11" fillId="5" borderId="4" xfId="0" applyFont="1" applyFill="1" applyBorder="1">
      <alignment vertical="center"/>
    </xf>
    <xf numFmtId="0" fontId="9" fillId="0" borderId="16" xfId="0" applyFont="1" applyBorder="1">
      <alignment vertical="center"/>
    </xf>
    <xf numFmtId="0" fontId="11" fillId="5" borderId="17" xfId="0" applyFont="1" applyFill="1" applyBorder="1">
      <alignment vertical="center"/>
    </xf>
    <xf numFmtId="0" fontId="0" fillId="0" borderId="20" xfId="0" applyBorder="1">
      <alignment vertical="center"/>
    </xf>
    <xf numFmtId="0" fontId="0" fillId="0" borderId="22" xfId="0" applyBorder="1">
      <alignment vertical="center"/>
    </xf>
    <xf numFmtId="41" fontId="10" fillId="6" borderId="23" xfId="0" applyNumberFormat="1" applyFont="1" applyFill="1" applyBorder="1">
      <alignment vertical="center"/>
    </xf>
    <xf numFmtId="176" fontId="0" fillId="0" borderId="0" xfId="1" applyNumberFormat="1" applyFont="1" applyBorder="1">
      <alignment vertical="center"/>
    </xf>
    <xf numFmtId="177" fontId="0" fillId="0" borderId="18" xfId="1" applyNumberFormat="1" applyFont="1" applyBorder="1">
      <alignment vertical="center"/>
    </xf>
    <xf numFmtId="177" fontId="0" fillId="0" borderId="0" xfId="1" applyNumberFormat="1" applyFont="1" applyBorder="1">
      <alignment vertical="center"/>
    </xf>
    <xf numFmtId="177" fontId="0" fillId="0" borderId="19" xfId="1" applyNumberFormat="1" applyFont="1" applyBorder="1">
      <alignment vertical="center"/>
    </xf>
    <xf numFmtId="177" fontId="0" fillId="0" borderId="21" xfId="1" applyNumberFormat="1" applyFont="1" applyBorder="1">
      <alignment vertical="center"/>
    </xf>
    <xf numFmtId="177" fontId="0" fillId="6" borderId="23" xfId="1" applyNumberFormat="1" applyFont="1" applyFill="1" applyBorder="1">
      <alignment vertical="center"/>
    </xf>
    <xf numFmtId="0" fontId="0" fillId="7" borderId="0" xfId="0" applyFill="1">
      <alignment vertical="center"/>
    </xf>
    <xf numFmtId="0" fontId="6" fillId="7" borderId="0" xfId="0" applyFont="1" applyFill="1">
      <alignment vertical="center"/>
    </xf>
    <xf numFmtId="43" fontId="0" fillId="7" borderId="0" xfId="0" applyNumberFormat="1" applyFill="1">
      <alignment vertical="center"/>
    </xf>
    <xf numFmtId="0" fontId="13" fillId="0" borderId="0" xfId="4" applyFont="1"/>
    <xf numFmtId="0" fontId="14" fillId="0" borderId="0" xfId="5"/>
    <xf numFmtId="0" fontId="16" fillId="0" borderId="2" xfId="6" applyFont="1" applyBorder="1" applyAlignment="1">
      <alignment horizontal="center" vertical="center" wrapText="1"/>
    </xf>
    <xf numFmtId="179" fontId="16" fillId="0" borderId="2" xfId="7" applyFont="1" applyBorder="1" applyAlignment="1">
      <alignment horizontal="center" vertical="center" wrapText="1"/>
    </xf>
    <xf numFmtId="0" fontId="18" fillId="0" borderId="2" xfId="5" applyFont="1" applyBorder="1" applyAlignment="1">
      <alignment vertical="center"/>
    </xf>
    <xf numFmtId="180" fontId="0" fillId="0" borderId="2" xfId="8" applyFont="1" applyBorder="1" applyAlignment="1"/>
    <xf numFmtId="0" fontId="7" fillId="5" borderId="6" xfId="5" applyFont="1" applyFill="1" applyBorder="1"/>
    <xf numFmtId="180" fontId="7" fillId="5" borderId="24" xfId="5" applyNumberFormat="1" applyFont="1" applyFill="1" applyBorder="1"/>
    <xf numFmtId="0" fontId="14" fillId="0" borderId="7" xfId="5" applyBorder="1"/>
    <xf numFmtId="43" fontId="14" fillId="0" borderId="0" xfId="5" applyNumberFormat="1"/>
    <xf numFmtId="0" fontId="7" fillId="5" borderId="25" xfId="5" applyFont="1" applyFill="1" applyBorder="1"/>
    <xf numFmtId="43" fontId="7" fillId="5" borderId="25" xfId="5" applyNumberFormat="1" applyFont="1" applyFill="1" applyBorder="1"/>
    <xf numFmtId="49" fontId="18" fillId="0" borderId="2" xfId="5" applyNumberFormat="1" applyFont="1" applyBorder="1" applyAlignment="1">
      <alignment vertical="center"/>
    </xf>
    <xf numFmtId="43" fontId="14" fillId="5" borderId="2" xfId="5" applyNumberFormat="1" applyFill="1" applyBorder="1"/>
    <xf numFmtId="180" fontId="7" fillId="5" borderId="2" xfId="5" applyNumberFormat="1" applyFont="1" applyFill="1" applyBorder="1"/>
    <xf numFmtId="0" fontId="7" fillId="5" borderId="2" xfId="5" applyFont="1" applyFill="1" applyBorder="1"/>
    <xf numFmtId="0" fontId="16" fillId="0" borderId="2" xfId="6" applyFont="1" applyBorder="1" applyAlignment="1">
      <alignment horizontal="center" vertical="center"/>
    </xf>
    <xf numFmtId="179" fontId="16" fillId="0" borderId="2" xfId="7" applyFont="1" applyFill="1" applyBorder="1" applyAlignment="1">
      <alignment horizontal="center" vertical="center"/>
    </xf>
    <xf numFmtId="180" fontId="0" fillId="0" borderId="2" xfId="8" applyFont="1" applyFill="1" applyBorder="1" applyAlignment="1"/>
    <xf numFmtId="178" fontId="14" fillId="0" borderId="0" xfId="5" applyNumberFormat="1"/>
    <xf numFmtId="0" fontId="14" fillId="0" borderId="2" xfId="5" applyBorder="1"/>
    <xf numFmtId="43" fontId="14" fillId="0" borderId="2" xfId="5" applyNumberFormat="1" applyBorder="1"/>
    <xf numFmtId="0" fontId="7" fillId="5" borderId="24" xfId="5" applyFont="1" applyFill="1" applyBorder="1"/>
    <xf numFmtId="41" fontId="14" fillId="0" borderId="0" xfId="1" applyFont="1" applyAlignment="1"/>
    <xf numFmtId="41" fontId="0" fillId="0" borderId="18" xfId="1" applyFont="1" applyBorder="1">
      <alignment vertical="center"/>
    </xf>
    <xf numFmtId="41" fontId="0" fillId="0" borderId="0" xfId="1" applyFont="1" applyBorder="1">
      <alignment vertical="center"/>
    </xf>
    <xf numFmtId="41" fontId="0" fillId="6" borderId="23" xfId="1" applyFont="1" applyFill="1" applyBorder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43" fontId="20" fillId="0" borderId="0" xfId="5" applyNumberFormat="1" applyFont="1"/>
    <xf numFmtId="49" fontId="18" fillId="8" borderId="2" xfId="5" applyNumberFormat="1" applyFont="1" applyFill="1" applyBorder="1" applyAlignment="1">
      <alignment vertical="center"/>
    </xf>
    <xf numFmtId="0" fontId="18" fillId="8" borderId="2" xfId="5" applyFont="1" applyFill="1" applyBorder="1" applyAlignment="1">
      <alignment vertical="center"/>
    </xf>
    <xf numFmtId="180" fontId="0" fillId="8" borderId="2" xfId="8" applyFont="1" applyFill="1" applyBorder="1" applyAlignment="1"/>
    <xf numFmtId="43" fontId="14" fillId="8" borderId="0" xfId="5" applyNumberFormat="1" applyFill="1"/>
    <xf numFmtId="0" fontId="22" fillId="0" borderId="27" xfId="0" applyFont="1" applyBorder="1" applyAlignment="1">
      <alignment horizontal="center"/>
    </xf>
    <xf numFmtId="14" fontId="22" fillId="0" borderId="28" xfId="0" applyNumberFormat="1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43" fontId="22" fillId="9" borderId="27" xfId="9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14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43" fontId="0" fillId="9" borderId="29" xfId="9" applyFont="1" applyFill="1" applyBorder="1" applyAlignment="1">
      <alignment horizontal="center"/>
    </xf>
    <xf numFmtId="49" fontId="24" fillId="0" borderId="0" xfId="0" applyNumberFormat="1" applyFont="1" applyAlignment="1"/>
    <xf numFmtId="0" fontId="24" fillId="0" borderId="0" xfId="0" applyFont="1" applyAlignment="1"/>
    <xf numFmtId="14" fontId="24" fillId="0" borderId="0" xfId="0" applyNumberFormat="1" applyFont="1" applyAlignment="1"/>
    <xf numFmtId="177" fontId="24" fillId="9" borderId="0" xfId="1" applyNumberFormat="1" applyFont="1" applyFill="1" applyAlignment="1"/>
    <xf numFmtId="41" fontId="24" fillId="0" borderId="0" xfId="1" applyFont="1" applyFill="1" applyAlignment="1"/>
    <xf numFmtId="180" fontId="3" fillId="8" borderId="2" xfId="8" applyFont="1" applyFill="1" applyBorder="1" applyAlignment="1"/>
    <xf numFmtId="49" fontId="25" fillId="0" borderId="0" xfId="0" applyNumberFormat="1" applyFont="1" applyAlignment="1"/>
    <xf numFmtId="0" fontId="25" fillId="0" borderId="0" xfId="0" applyFont="1" applyAlignment="1"/>
    <xf numFmtId="14" fontId="25" fillId="0" borderId="0" xfId="0" applyNumberFormat="1" applyFont="1" applyAlignment="1"/>
    <xf numFmtId="177" fontId="25" fillId="9" borderId="0" xfId="1" applyNumberFormat="1" applyFont="1" applyFill="1" applyAlignment="1"/>
    <xf numFmtId="41" fontId="25" fillId="0" borderId="0" xfId="1" applyFont="1" applyFill="1" applyAlignment="1"/>
    <xf numFmtId="0" fontId="26" fillId="0" borderId="0" xfId="0" applyFont="1" applyAlignment="1"/>
    <xf numFmtId="49" fontId="25" fillId="0" borderId="23" xfId="0" applyNumberFormat="1" applyFont="1" applyBorder="1" applyAlignment="1"/>
    <xf numFmtId="0" fontId="25" fillId="0" borderId="23" xfId="0" applyFont="1" applyBorder="1" applyAlignment="1"/>
    <xf numFmtId="14" fontId="25" fillId="0" borderId="23" xfId="0" applyNumberFormat="1" applyFont="1" applyBorder="1" applyAlignment="1"/>
    <xf numFmtId="177" fontId="25" fillId="9" borderId="23" xfId="1" applyNumberFormat="1" applyFont="1" applyFill="1" applyBorder="1" applyAlignment="1"/>
    <xf numFmtId="41" fontId="25" fillId="0" borderId="23" xfId="1" applyFont="1" applyFill="1" applyBorder="1" applyAlignment="1"/>
    <xf numFmtId="0" fontId="14" fillId="0" borderId="23" xfId="5" applyBorder="1"/>
    <xf numFmtId="0" fontId="26" fillId="0" borderId="23" xfId="0" applyFont="1" applyBorder="1" applyAlignment="1"/>
    <xf numFmtId="49" fontId="0" fillId="0" borderId="23" xfId="0" applyNumberFormat="1" applyBorder="1" applyAlignment="1"/>
    <xf numFmtId="0" fontId="0" fillId="0" borderId="23" xfId="0" applyBorder="1" applyAlignment="1"/>
    <xf numFmtId="14" fontId="0" fillId="0" borderId="23" xfId="0" applyNumberFormat="1" applyBorder="1" applyAlignment="1"/>
    <xf numFmtId="177" fontId="0" fillId="9" borderId="23" xfId="1" applyNumberFormat="1" applyFont="1" applyFill="1" applyBorder="1" applyAlignment="1"/>
    <xf numFmtId="41" fontId="0" fillId="0" borderId="23" xfId="1" applyFont="1" applyFill="1" applyBorder="1" applyAlignment="1"/>
    <xf numFmtId="49" fontId="24" fillId="0" borderId="23" xfId="0" applyNumberFormat="1" applyFont="1" applyBorder="1" applyAlignment="1"/>
    <xf numFmtId="0" fontId="24" fillId="0" borderId="23" xfId="0" applyFont="1" applyBorder="1" applyAlignment="1"/>
    <xf numFmtId="14" fontId="24" fillId="0" borderId="23" xfId="0" applyNumberFormat="1" applyFont="1" applyBorder="1" applyAlignment="1"/>
    <xf numFmtId="177" fontId="24" fillId="9" borderId="23" xfId="1" applyNumberFormat="1" applyFont="1" applyFill="1" applyBorder="1" applyAlignment="1"/>
    <xf numFmtId="41" fontId="24" fillId="0" borderId="23" xfId="1" applyFont="1" applyFill="1" applyBorder="1" applyAlignment="1"/>
    <xf numFmtId="0" fontId="24" fillId="0" borderId="23" xfId="5" applyFont="1" applyBorder="1"/>
    <xf numFmtId="0" fontId="24" fillId="0" borderId="0" xfId="5" applyFont="1"/>
    <xf numFmtId="49" fontId="27" fillId="0" borderId="0" xfId="0" applyNumberFormat="1" applyFont="1" applyAlignment="1"/>
    <xf numFmtId="0" fontId="27" fillId="0" borderId="0" xfId="0" applyFont="1" applyAlignment="1"/>
    <xf numFmtId="14" fontId="27" fillId="0" borderId="0" xfId="0" applyNumberFormat="1" applyFont="1" applyAlignment="1"/>
    <xf numFmtId="177" fontId="27" fillId="9" borderId="0" xfId="1" applyNumberFormat="1" applyFont="1" applyFill="1" applyAlignment="1"/>
    <xf numFmtId="41" fontId="27" fillId="0" borderId="0" xfId="1" applyFont="1" applyFill="1" applyAlignment="1"/>
    <xf numFmtId="0" fontId="20" fillId="0" borderId="0" xfId="5" applyFont="1"/>
    <xf numFmtId="0" fontId="3" fillId="0" borderId="23" xfId="0" applyFont="1" applyBorder="1" applyAlignment="1"/>
    <xf numFmtId="177" fontId="14" fillId="0" borderId="0" xfId="5" applyNumberFormat="1"/>
    <xf numFmtId="0" fontId="3" fillId="0" borderId="0" xfId="0" applyFont="1">
      <alignment vertical="center"/>
    </xf>
    <xf numFmtId="0" fontId="28" fillId="0" borderId="0" xfId="0" applyFont="1">
      <alignment vertical="center"/>
    </xf>
    <xf numFmtId="0" fontId="29" fillId="0" borderId="18" xfId="0" applyFont="1" applyBorder="1" applyAlignment="1"/>
    <xf numFmtId="181" fontId="25" fillId="0" borderId="18" xfId="0" applyNumberFormat="1" applyFont="1" applyBorder="1" applyAlignment="1"/>
    <xf numFmtId="177" fontId="25" fillId="9" borderId="18" xfId="1" applyNumberFormat="1" applyFont="1" applyFill="1" applyBorder="1" applyAlignment="1"/>
    <xf numFmtId="177" fontId="25" fillId="0" borderId="18" xfId="1" applyNumberFormat="1" applyFont="1" applyFill="1" applyBorder="1" applyAlignment="1"/>
    <xf numFmtId="0" fontId="20" fillId="0" borderId="18" xfId="0" applyFont="1" applyBorder="1" applyAlignment="1"/>
    <xf numFmtId="0" fontId="29" fillId="0" borderId="0" xfId="0" applyFont="1" applyAlignment="1"/>
    <xf numFmtId="181" fontId="25" fillId="0" borderId="0" xfId="0" applyNumberFormat="1" applyFont="1" applyAlignment="1"/>
    <xf numFmtId="177" fontId="25" fillId="9" borderId="0" xfId="1" applyNumberFormat="1" applyFont="1" applyFill="1" applyBorder="1" applyAlignment="1"/>
    <xf numFmtId="177" fontId="25" fillId="0" borderId="0" xfId="1" applyNumberFormat="1" applyFont="1" applyFill="1" applyBorder="1" applyAlignment="1"/>
    <xf numFmtId="0" fontId="20" fillId="0" borderId="0" xfId="0" applyFont="1" applyAlignment="1"/>
    <xf numFmtId="0" fontId="0" fillId="0" borderId="0" xfId="0" applyAlignment="1"/>
    <xf numFmtId="181" fontId="25" fillId="0" borderId="23" xfId="0" applyNumberFormat="1" applyFont="1" applyBorder="1" applyAlignment="1"/>
    <xf numFmtId="177" fontId="25" fillId="0" borderId="23" xfId="1" applyNumberFormat="1" applyFont="1" applyFill="1" applyBorder="1" applyAlignment="1"/>
    <xf numFmtId="0" fontId="20" fillId="0" borderId="23" xfId="0" applyFont="1" applyBorder="1" applyAlignment="1"/>
    <xf numFmtId="0" fontId="26" fillId="0" borderId="18" xfId="0" applyFont="1" applyBorder="1" applyAlignment="1"/>
    <xf numFmtId="177" fontId="26" fillId="9" borderId="18" xfId="1" applyNumberFormat="1" applyFont="1" applyFill="1" applyBorder="1" applyAlignment="1"/>
    <xf numFmtId="0" fontId="14" fillId="0" borderId="18" xfId="5" applyBorder="1"/>
    <xf numFmtId="0" fontId="26" fillId="0" borderId="18" xfId="0" applyFont="1" applyBorder="1">
      <alignment vertical="center"/>
    </xf>
    <xf numFmtId="14" fontId="26" fillId="0" borderId="18" xfId="0" applyNumberFormat="1" applyFont="1" applyBorder="1">
      <alignment vertical="center"/>
    </xf>
    <xf numFmtId="177" fontId="26" fillId="9" borderId="18" xfId="1" applyNumberFormat="1" applyFont="1" applyFill="1" applyBorder="1" applyAlignment="1">
      <alignment vertical="center"/>
    </xf>
    <xf numFmtId="41" fontId="26" fillId="0" borderId="18" xfId="1" applyFont="1" applyFill="1" applyBorder="1" applyAlignment="1">
      <alignment vertical="center"/>
    </xf>
    <xf numFmtId="0" fontId="14" fillId="0" borderId="18" xfId="5" applyBorder="1" applyAlignment="1">
      <alignment vertical="center"/>
    </xf>
    <xf numFmtId="0" fontId="14" fillId="0" borderId="23" xfId="5" applyBorder="1" applyAlignment="1">
      <alignment vertical="center"/>
    </xf>
    <xf numFmtId="0" fontId="26" fillId="0" borderId="23" xfId="0" applyFont="1" applyBorder="1">
      <alignment vertical="center"/>
    </xf>
    <xf numFmtId="14" fontId="26" fillId="0" borderId="23" xfId="0" applyNumberFormat="1" applyFont="1" applyBorder="1">
      <alignment vertical="center"/>
    </xf>
    <xf numFmtId="41" fontId="26" fillId="0" borderId="23" xfId="1" applyFont="1" applyFill="1" applyBorder="1" applyAlignment="1">
      <alignment vertical="center"/>
    </xf>
    <xf numFmtId="0" fontId="25" fillId="0" borderId="18" xfId="0" applyFont="1" applyBorder="1" applyAlignment="1"/>
    <xf numFmtId="14" fontId="25" fillId="0" borderId="18" xfId="0" applyNumberFormat="1" applyFont="1" applyBorder="1" applyAlignment="1"/>
    <xf numFmtId="41" fontId="25" fillId="0" borderId="18" xfId="1" applyFont="1" applyFill="1" applyBorder="1" applyAlignment="1"/>
    <xf numFmtId="41" fontId="25" fillId="0" borderId="0" xfId="1" applyFont="1" applyFill="1" applyBorder="1" applyAlignment="1"/>
    <xf numFmtId="177" fontId="26" fillId="9" borderId="23" xfId="1" applyNumberFormat="1" applyFont="1" applyFill="1" applyBorder="1" applyAlignment="1">
      <alignment vertical="center"/>
    </xf>
    <xf numFmtId="0" fontId="0" fillId="0" borderId="18" xfId="0" applyBorder="1" applyAlignment="1"/>
    <xf numFmtId="14" fontId="0" fillId="0" borderId="18" xfId="0" applyNumberFormat="1" applyBorder="1" applyAlignment="1"/>
    <xf numFmtId="177" fontId="0" fillId="9" borderId="18" xfId="1" applyNumberFormat="1" applyFont="1" applyFill="1" applyBorder="1" applyAlignment="1"/>
    <xf numFmtId="41" fontId="0" fillId="0" borderId="18" xfId="1" applyFont="1" applyFill="1" applyBorder="1" applyAlignment="1"/>
    <xf numFmtId="14" fontId="0" fillId="0" borderId="0" xfId="0" applyNumberFormat="1" applyAlignment="1"/>
    <xf numFmtId="177" fontId="0" fillId="9" borderId="0" xfId="1" applyNumberFormat="1" applyFont="1" applyFill="1" applyBorder="1" applyAlignment="1"/>
    <xf numFmtId="41" fontId="0" fillId="0" borderId="0" xfId="1" applyFont="1" applyFill="1" applyBorder="1" applyAlignment="1"/>
    <xf numFmtId="49" fontId="18" fillId="10" borderId="2" xfId="5" applyNumberFormat="1" applyFont="1" applyFill="1" applyBorder="1" applyAlignment="1">
      <alignment vertical="center"/>
    </xf>
    <xf numFmtId="0" fontId="18" fillId="10" borderId="2" xfId="5" applyFont="1" applyFill="1" applyBorder="1" applyAlignment="1">
      <alignment vertical="center"/>
    </xf>
    <xf numFmtId="180" fontId="0" fillId="10" borderId="2" xfId="8" applyFont="1" applyFill="1" applyBorder="1" applyAlignment="1"/>
    <xf numFmtId="43" fontId="14" fillId="10" borderId="0" xfId="5" applyNumberFormat="1" applyFill="1"/>
    <xf numFmtId="181" fontId="26" fillId="0" borderId="18" xfId="0" applyNumberFormat="1" applyFont="1" applyBorder="1" applyAlignment="1"/>
    <xf numFmtId="177" fontId="26" fillId="0" borderId="18" xfId="1" applyNumberFormat="1" applyFont="1" applyFill="1" applyBorder="1" applyAlignment="1"/>
    <xf numFmtId="181" fontId="26" fillId="0" borderId="23" xfId="0" applyNumberFormat="1" applyFont="1" applyBorder="1" applyAlignment="1"/>
    <xf numFmtId="177" fontId="26" fillId="9" borderId="23" xfId="1" applyNumberFormat="1" applyFont="1" applyFill="1" applyBorder="1" applyAlignment="1"/>
    <xf numFmtId="177" fontId="26" fillId="0" borderId="23" xfId="1" applyNumberFormat="1" applyFont="1" applyFill="1" applyBorder="1" applyAlignment="1"/>
    <xf numFmtId="177" fontId="14" fillId="0" borderId="0" xfId="1" applyNumberFormat="1" applyFont="1" applyAlignment="1"/>
    <xf numFmtId="0" fontId="14" fillId="0" borderId="0" xfId="5" quotePrefix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18" xfId="5" applyFont="1" applyBorder="1" applyAlignment="1">
      <alignment horizontal="center" vertical="center"/>
    </xf>
    <xf numFmtId="0" fontId="29" fillId="0" borderId="23" xfId="5" applyFont="1" applyBorder="1" applyAlignment="1">
      <alignment horizontal="center" vertical="center"/>
    </xf>
    <xf numFmtId="0" fontId="25" fillId="0" borderId="18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5" fillId="0" borderId="23" xfId="5" applyFont="1" applyBorder="1" applyAlignment="1">
      <alignment horizontal="center" vertical="center"/>
    </xf>
    <xf numFmtId="0" fontId="14" fillId="0" borderId="18" xfId="5" applyBorder="1" applyAlignment="1">
      <alignment horizontal="center" vertical="center"/>
    </xf>
    <xf numFmtId="0" fontId="14" fillId="0" borderId="0" xfId="5" applyAlignment="1">
      <alignment horizontal="center" vertical="center"/>
    </xf>
    <xf numFmtId="0" fontId="14" fillId="0" borderId="23" xfId="5" applyBorder="1" applyAlignment="1">
      <alignment horizontal="center" vertical="center"/>
    </xf>
    <xf numFmtId="0" fontId="29" fillId="0" borderId="0" xfId="5" applyFont="1" applyAlignment="1">
      <alignment horizontal="center" vertical="center"/>
    </xf>
    <xf numFmtId="0" fontId="13" fillId="0" borderId="0" xfId="4" applyFont="1" applyFill="1"/>
    <xf numFmtId="0" fontId="14" fillId="0" borderId="0" xfId="5" applyFill="1"/>
    <xf numFmtId="0" fontId="0" fillId="0" borderId="0" xfId="0" applyFill="1">
      <alignment vertical="center"/>
    </xf>
    <xf numFmtId="0" fontId="16" fillId="0" borderId="2" xfId="6" applyFont="1" applyFill="1" applyBorder="1" applyAlignment="1">
      <alignment horizontal="center" vertical="center"/>
    </xf>
    <xf numFmtId="49" fontId="18" fillId="0" borderId="2" xfId="5" applyNumberFormat="1" applyFont="1" applyFill="1" applyBorder="1" applyAlignment="1">
      <alignment vertical="center"/>
    </xf>
    <xf numFmtId="0" fontId="18" fillId="0" borderId="2" xfId="5" applyFont="1" applyFill="1" applyBorder="1" applyAlignment="1">
      <alignment vertical="center"/>
    </xf>
    <xf numFmtId="43" fontId="14" fillId="0" borderId="0" xfId="5" applyNumberFormat="1" applyFill="1"/>
    <xf numFmtId="0" fontId="18" fillId="0" borderId="26" xfId="5" applyFont="1" applyFill="1" applyBorder="1" applyAlignment="1">
      <alignment vertical="center"/>
    </xf>
    <xf numFmtId="0" fontId="18" fillId="0" borderId="0" xfId="5" applyFont="1" applyFill="1" applyAlignment="1">
      <alignment vertical="center"/>
    </xf>
    <xf numFmtId="0" fontId="14" fillId="0" borderId="2" xfId="5" applyFill="1" applyBorder="1"/>
    <xf numFmtId="43" fontId="14" fillId="0" borderId="2" xfId="5" applyNumberFormat="1" applyFill="1" applyBorder="1"/>
    <xf numFmtId="41" fontId="14" fillId="0" borderId="0" xfId="1" applyFont="1" applyFill="1" applyAlignment="1"/>
    <xf numFmtId="0" fontId="0" fillId="0" borderId="0" xfId="0" applyBorder="1" applyAlignment="1"/>
    <xf numFmtId="14" fontId="0" fillId="0" borderId="0" xfId="0" applyNumberFormat="1" applyBorder="1" applyAlignment="1"/>
    <xf numFmtId="177" fontId="0" fillId="0" borderId="0" xfId="1" applyNumberFormat="1" applyFont="1" applyFill="1" applyBorder="1" applyAlignment="1"/>
    <xf numFmtId="43" fontId="20" fillId="0" borderId="0" xfId="5" applyNumberFormat="1" applyFont="1" applyFill="1"/>
    <xf numFmtId="0" fontId="29" fillId="0" borderId="0" xfId="5" applyFont="1" applyFill="1" applyBorder="1" applyAlignment="1">
      <alignment horizontal="center" vertical="center"/>
    </xf>
    <xf numFmtId="0" fontId="26" fillId="0" borderId="0" xfId="0" applyFont="1" applyBorder="1" applyAlignment="1"/>
    <xf numFmtId="14" fontId="26" fillId="0" borderId="0" xfId="0" applyNumberFormat="1" applyFont="1" applyBorder="1" applyAlignment="1"/>
    <xf numFmtId="177" fontId="26" fillId="9" borderId="0" xfId="1" applyNumberFormat="1" applyFont="1" applyFill="1" applyBorder="1" applyAlignment="1"/>
    <xf numFmtId="177" fontId="26" fillId="0" borderId="0" xfId="1" applyNumberFormat="1" applyFont="1" applyFill="1" applyBorder="1" applyAlignment="1"/>
    <xf numFmtId="0" fontId="29" fillId="0" borderId="23" xfId="5" applyFont="1" applyFill="1" applyBorder="1" applyAlignment="1">
      <alignment horizontal="center" vertical="center"/>
    </xf>
    <xf numFmtId="0" fontId="29" fillId="0" borderId="23" xfId="0" applyFont="1" applyBorder="1" applyAlignment="1"/>
    <xf numFmtId="0" fontId="29" fillId="0" borderId="18" xfId="5" applyFont="1" applyFill="1" applyBorder="1" applyAlignment="1">
      <alignment horizontal="center" vertical="center"/>
    </xf>
    <xf numFmtId="0" fontId="26" fillId="0" borderId="18" xfId="0" applyFont="1" applyFill="1" applyBorder="1" applyAlignment="1"/>
    <xf numFmtId="14" fontId="26" fillId="0" borderId="18" xfId="0" applyNumberFormat="1" applyFont="1" applyFill="1" applyBorder="1" applyAlignment="1"/>
    <xf numFmtId="0" fontId="26" fillId="0" borderId="0" xfId="0" applyFont="1" applyFill="1" applyBorder="1" applyAlignment="1"/>
    <xf numFmtId="14" fontId="26" fillId="0" borderId="0" xfId="0" applyNumberFormat="1" applyFont="1" applyFill="1" applyBorder="1" applyAlignment="1"/>
    <xf numFmtId="0" fontId="26" fillId="0" borderId="23" xfId="0" applyFont="1" applyFill="1" applyBorder="1" applyAlignment="1"/>
    <xf numFmtId="14" fontId="26" fillId="0" borderId="23" xfId="0" applyNumberFormat="1" applyFont="1" applyFill="1" applyBorder="1" applyAlignment="1"/>
    <xf numFmtId="0" fontId="0" fillId="0" borderId="18" xfId="0" applyBorder="1" applyAlignment="1">
      <alignment horizontal="center" vertical="center"/>
    </xf>
    <xf numFmtId="177" fontId="0" fillId="0" borderId="18" xfId="1" applyNumberFormat="1" applyFont="1" applyFill="1" applyBorder="1" applyAlignment="1"/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7" fontId="0" fillId="0" borderId="23" xfId="1" applyNumberFormat="1" applyFont="1" applyFill="1" applyBorder="1" applyAlignment="1"/>
    <xf numFmtId="0" fontId="29" fillId="0" borderId="23" xfId="0" applyFont="1" applyFill="1" applyBorder="1" applyAlignment="1"/>
    <xf numFmtId="0" fontId="0" fillId="0" borderId="18" xfId="0" applyFill="1" applyBorder="1" applyAlignment="1"/>
    <xf numFmtId="0" fontId="0" fillId="0" borderId="0" xfId="0" applyFill="1" applyBorder="1" applyAlignment="1"/>
    <xf numFmtId="0" fontId="0" fillId="0" borderId="23" xfId="0" applyFill="1" applyBorder="1" applyAlignment="1"/>
    <xf numFmtId="0" fontId="14" fillId="0" borderId="0" xfId="5" quotePrefix="1" applyFill="1"/>
    <xf numFmtId="41" fontId="3" fillId="6" borderId="0" xfId="1" applyFont="1" applyFill="1">
      <alignment vertical="center"/>
    </xf>
    <xf numFmtId="41" fontId="0" fillId="6" borderId="0" xfId="0" applyNumberFormat="1" applyFill="1">
      <alignment vertical="center"/>
    </xf>
    <xf numFmtId="41" fontId="0" fillId="11" borderId="0" xfId="0" applyNumberFormat="1" applyFill="1">
      <alignment vertical="center"/>
    </xf>
    <xf numFmtId="0" fontId="3" fillId="11" borderId="0" xfId="0" applyFont="1" applyFill="1">
      <alignment vertical="center"/>
    </xf>
    <xf numFmtId="177" fontId="0" fillId="6" borderId="0" xfId="1" applyNumberFormat="1" applyFont="1" applyFill="1">
      <alignment vertical="center"/>
    </xf>
    <xf numFmtId="177" fontId="0" fillId="0" borderId="0" xfId="1" applyNumberFormat="1" applyFont="1">
      <alignment vertical="center"/>
    </xf>
    <xf numFmtId="177" fontId="0" fillId="11" borderId="0" xfId="1" applyNumberFormat="1" applyFont="1" applyFill="1">
      <alignment vertical="center"/>
    </xf>
    <xf numFmtId="43" fontId="29" fillId="8" borderId="0" xfId="5" applyNumberFormat="1" applyFont="1" applyFill="1"/>
    <xf numFmtId="0" fontId="18" fillId="8" borderId="26" xfId="5" applyFont="1" applyFill="1" applyBorder="1" applyAlignment="1">
      <alignment vertical="center"/>
    </xf>
    <xf numFmtId="0" fontId="18" fillId="8" borderId="0" xfId="5" applyFont="1" applyFill="1" applyAlignment="1">
      <alignment vertical="center"/>
    </xf>
    <xf numFmtId="0" fontId="22" fillId="0" borderId="27" xfId="0" applyFont="1" applyFill="1" applyBorder="1" applyAlignment="1">
      <alignment horizontal="center"/>
    </xf>
    <xf numFmtId="14" fontId="22" fillId="0" borderId="28" xfId="0" applyNumberFormat="1" applyFont="1" applyFill="1" applyBorder="1" applyAlignment="1">
      <alignment horizontal="center"/>
    </xf>
    <xf numFmtId="0" fontId="22" fillId="0" borderId="28" xfId="0" applyFont="1" applyFill="1" applyBorder="1" applyAlignment="1">
      <alignment horizontal="center"/>
    </xf>
    <xf numFmtId="43" fontId="22" fillId="0" borderId="27" xfId="9" applyFon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14" fontId="0" fillId="0" borderId="30" xfId="0" applyNumberFormat="1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43" fontId="0" fillId="0" borderId="29" xfId="9" applyFont="1" applyFill="1" applyBorder="1" applyAlignment="1">
      <alignment horizontal="center"/>
    </xf>
    <xf numFmtId="43" fontId="0" fillId="0" borderId="18" xfId="9" applyFont="1" applyFill="1" applyBorder="1" applyAlignment="1"/>
    <xf numFmtId="43" fontId="0" fillId="0" borderId="0" xfId="9" applyFont="1" applyFill="1" applyBorder="1" applyAlignment="1"/>
    <xf numFmtId="43" fontId="0" fillId="0" borderId="23" xfId="9" applyFont="1" applyFill="1" applyBorder="1" applyAlignment="1"/>
    <xf numFmtId="0" fontId="20" fillId="0" borderId="0" xfId="5" applyFont="1" applyFill="1"/>
    <xf numFmtId="43" fontId="0" fillId="9" borderId="18" xfId="9" applyFont="1" applyFill="1" applyBorder="1" applyAlignment="1"/>
    <xf numFmtId="43" fontId="0" fillId="9" borderId="0" xfId="9" applyFont="1" applyFill="1" applyBorder="1" applyAlignment="1"/>
    <xf numFmtId="43" fontId="0" fillId="9" borderId="23" xfId="9" applyFont="1" applyFill="1" applyBorder="1" applyAlignment="1"/>
    <xf numFmtId="0" fontId="0" fillId="0" borderId="31" xfId="0" applyFill="1" applyBorder="1" applyAlignment="1">
      <alignment horizontal="center" vertical="center"/>
    </xf>
    <xf numFmtId="0" fontId="0" fillId="0" borderId="31" xfId="0" applyFill="1" applyBorder="1" applyAlignment="1"/>
    <xf numFmtId="14" fontId="0" fillId="0" borderId="31" xfId="0" applyNumberFormat="1" applyFill="1" applyBorder="1" applyAlignment="1"/>
    <xf numFmtId="43" fontId="0" fillId="9" borderId="31" xfId="9" applyFont="1" applyFill="1" applyBorder="1" applyAlignment="1"/>
    <xf numFmtId="43" fontId="0" fillId="0" borderId="31" xfId="9" applyFont="1" applyFill="1" applyBorder="1" applyAlignment="1"/>
    <xf numFmtId="0" fontId="3" fillId="0" borderId="0" xfId="0" applyFont="1" applyFill="1" applyBorder="1" applyAlignment="1"/>
    <xf numFmtId="0" fontId="0" fillId="0" borderId="31" xfId="0" applyBorder="1" applyAlignment="1">
      <alignment horizontal="center" vertical="center"/>
    </xf>
    <xf numFmtId="0" fontId="0" fillId="0" borderId="31" xfId="0" applyBorder="1" applyAlignment="1"/>
    <xf numFmtId="14" fontId="0" fillId="0" borderId="31" xfId="0" applyNumberFormat="1" applyBorder="1" applyAlignment="1"/>
    <xf numFmtId="0" fontId="2" fillId="3" borderId="32" xfId="0" applyFont="1" applyFill="1" applyBorder="1">
      <alignment vertical="center"/>
    </xf>
  </cellXfs>
  <cellStyles count="10">
    <cellStyle name="Comma 11" xfId="7" xr:uid="{ED01BDFF-6261-4438-B770-F0E9047A20FE}"/>
    <cellStyle name="Normal 66" xfId="6" xr:uid="{C2FA9A9F-47EA-484E-902C-1FAE356E9693}"/>
    <cellStyle name="Normal_FS for September'07-Eng_after audited" xfId="4" xr:uid="{3D647B50-EA08-4D4A-A715-0B78E2740D1E}"/>
    <cellStyle name="쉼표" xfId="9" builtinId="3"/>
    <cellStyle name="쉼표 [0]" xfId="1" builtinId="6"/>
    <cellStyle name="쉼표 2" xfId="8" xr:uid="{0E0D6FC7-23CB-4045-BE93-3EADDA839BC6}"/>
    <cellStyle name="표준" xfId="0" builtinId="0"/>
    <cellStyle name="표준 2" xfId="2" xr:uid="{C710AFDE-09E0-44AC-A9BB-4A95776268A1}"/>
    <cellStyle name="표준 3" xfId="3" xr:uid="{18056425-F88A-46DB-9A1F-218449491D61}"/>
    <cellStyle name="표준 4" xfId="5" xr:uid="{69597CC5-A731-4ABA-9D31-6B9B6152C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8"/>
  <sheetViews>
    <sheetView tabSelected="1" topLeftCell="A8" zoomScale="85" zoomScaleNormal="85" workbookViewId="0">
      <selection activeCell="G19" sqref="G19"/>
    </sheetView>
  </sheetViews>
  <sheetFormatPr defaultRowHeight="13.2"/>
  <cols>
    <col min="1" max="1" width="40.33203125" bestFit="1" customWidth="1"/>
    <col min="2" max="2" width="13" customWidth="1"/>
    <col min="3" max="3" width="16.77734375" customWidth="1"/>
    <col min="4" max="5" width="16" customWidth="1"/>
    <col min="6" max="11" width="16.109375" customWidth="1"/>
    <col min="12" max="12" width="12.21875" bestFit="1" customWidth="1"/>
  </cols>
  <sheetData>
    <row r="2" spans="1:11" ht="16.2" thickBot="1">
      <c r="D2" s="9" t="s">
        <v>108</v>
      </c>
      <c r="E2" s="9">
        <v>1454.9022</v>
      </c>
      <c r="F2" s="9" t="s">
        <v>108</v>
      </c>
      <c r="G2">
        <v>1448.4907000000001</v>
      </c>
      <c r="H2" s="9" t="s">
        <v>108</v>
      </c>
      <c r="I2">
        <v>1488.4736</v>
      </c>
      <c r="J2" s="9" t="s">
        <v>108</v>
      </c>
      <c r="K2">
        <v>1485.7593999999999</v>
      </c>
    </row>
    <row r="3" spans="1:11" ht="23.25" customHeight="1">
      <c r="A3" s="275" t="s">
        <v>99</v>
      </c>
      <c r="B3" s="1" t="s">
        <v>71</v>
      </c>
      <c r="C3" s="2" t="s">
        <v>72</v>
      </c>
      <c r="D3" s="187">
        <v>2026.01</v>
      </c>
      <c r="E3" s="188"/>
      <c r="F3" s="183">
        <v>2026.02</v>
      </c>
      <c r="G3" s="184"/>
      <c r="H3" s="183">
        <v>2026.03</v>
      </c>
      <c r="I3" s="184"/>
      <c r="J3" s="183">
        <v>2026.04</v>
      </c>
      <c r="K3" s="184"/>
    </row>
    <row r="4" spans="1:11" ht="23.25" customHeight="1">
      <c r="A4" s="4"/>
      <c r="B4" s="5"/>
      <c r="C4" s="10"/>
      <c r="D4" s="12" t="s">
        <v>104</v>
      </c>
      <c r="E4" s="13" t="s">
        <v>105</v>
      </c>
      <c r="F4" s="12" t="s">
        <v>104</v>
      </c>
      <c r="G4" s="13" t="s">
        <v>105</v>
      </c>
      <c r="H4" s="12" t="s">
        <v>104</v>
      </c>
      <c r="I4" s="13" t="s">
        <v>105</v>
      </c>
      <c r="J4" s="12" t="s">
        <v>104</v>
      </c>
      <c r="K4" s="13" t="s">
        <v>105</v>
      </c>
    </row>
    <row r="5" spans="1:11" ht="21" customHeight="1">
      <c r="A5" s="6" t="s">
        <v>0</v>
      </c>
      <c r="B5" s="185" t="s">
        <v>98</v>
      </c>
      <c r="C5" s="186"/>
      <c r="D5" s="14">
        <f>SUM(D6:D26)</f>
        <v>249666113</v>
      </c>
      <c r="E5" s="15">
        <f>SUM(E6:E26)</f>
        <v>171603.36481723652</v>
      </c>
      <c r="F5" s="14">
        <f>SUM(F6:F26)</f>
        <v>252898961</v>
      </c>
      <c r="G5" s="15">
        <f>SUM(G6:G26)</f>
        <v>174594.8116891603</v>
      </c>
      <c r="H5" s="14">
        <f>SUM(H6:H26)+H37</f>
        <v>213138159</v>
      </c>
      <c r="I5" s="15">
        <f>SUM(I6:I26)</f>
        <v>136524.28165336626</v>
      </c>
      <c r="J5" s="14">
        <f>SUM(J6:J26)</f>
        <v>562762576</v>
      </c>
      <c r="K5" s="15">
        <f>SUM(K6:K26)</f>
        <v>378771.00154977984</v>
      </c>
    </row>
    <row r="6" spans="1:11" ht="21" customHeight="1">
      <c r="A6" s="7" t="s">
        <v>1</v>
      </c>
      <c r="B6" s="7" t="s">
        <v>73</v>
      </c>
      <c r="C6" s="11" t="s">
        <v>34</v>
      </c>
      <c r="D6" s="16">
        <v>43747569</v>
      </c>
      <c r="E6" s="17">
        <f>D6/$E$2</f>
        <v>30069.078870043635</v>
      </c>
      <c r="F6" s="18">
        <v>46013633</v>
      </c>
      <c r="G6" s="24">
        <f>F6/$G$2</f>
        <v>31766.605750385555</v>
      </c>
      <c r="H6" s="18">
        <v>44880601</v>
      </c>
      <c r="I6" s="24">
        <f>H6/$I$2</f>
        <v>30152.097423830695</v>
      </c>
      <c r="J6" s="18">
        <v>84534804</v>
      </c>
      <c r="K6" s="24">
        <f>J6/$K$2</f>
        <v>56896.698079110254</v>
      </c>
    </row>
    <row r="7" spans="1:11" ht="21" customHeight="1">
      <c r="A7" s="7" t="s">
        <v>2</v>
      </c>
      <c r="B7" s="7" t="s">
        <v>74</v>
      </c>
      <c r="C7" s="11" t="s">
        <v>34</v>
      </c>
      <c r="D7" s="18">
        <v>0</v>
      </c>
      <c r="E7" s="17">
        <f t="shared" ref="E7:E26" si="0">D7/$E$2</f>
        <v>0</v>
      </c>
      <c r="F7" s="18">
        <v>67897463</v>
      </c>
      <c r="G7" s="24">
        <f t="shared" ref="G7:G25" si="1">F7/$G$2</f>
        <v>46874.628190571049</v>
      </c>
      <c r="H7" s="18">
        <v>0</v>
      </c>
      <c r="I7" s="24">
        <f t="shared" ref="I7:I26" si="2">H7/$I$2</f>
        <v>0</v>
      </c>
      <c r="J7" s="18">
        <v>0</v>
      </c>
      <c r="K7" s="24">
        <f t="shared" ref="K7:K26" si="3">J7/$K$2</f>
        <v>0</v>
      </c>
    </row>
    <row r="8" spans="1:11" ht="21" customHeight="1">
      <c r="A8" s="7" t="s">
        <v>102</v>
      </c>
      <c r="B8" s="7" t="s">
        <v>103</v>
      </c>
      <c r="C8" s="11" t="s">
        <v>34</v>
      </c>
      <c r="D8" s="18">
        <v>0</v>
      </c>
      <c r="E8" s="17">
        <f t="shared" si="0"/>
        <v>0</v>
      </c>
      <c r="F8" s="18">
        <v>0</v>
      </c>
      <c r="G8" s="24">
        <f t="shared" si="1"/>
        <v>0</v>
      </c>
      <c r="H8" s="18"/>
      <c r="I8" s="24">
        <f t="shared" si="2"/>
        <v>0</v>
      </c>
      <c r="J8" s="25">
        <v>325339425</v>
      </c>
      <c r="K8" s="24">
        <f t="shared" si="3"/>
        <v>218971.80997138569</v>
      </c>
    </row>
    <row r="9" spans="1:11" ht="21" customHeight="1">
      <c r="A9" s="7" t="s">
        <v>3</v>
      </c>
      <c r="B9" s="7" t="s">
        <v>75</v>
      </c>
      <c r="C9" s="11" t="s">
        <v>36</v>
      </c>
      <c r="D9" s="16">
        <v>5000000</v>
      </c>
      <c r="E9" s="17">
        <f t="shared" si="0"/>
        <v>3436.6571168838705</v>
      </c>
      <c r="F9" s="18">
        <v>5000000</v>
      </c>
      <c r="G9" s="24">
        <f t="shared" si="1"/>
        <v>3451.8689005045044</v>
      </c>
      <c r="H9" s="18">
        <v>5046500</v>
      </c>
      <c r="I9" s="24">
        <f t="shared" si="2"/>
        <v>3390.3859631773112</v>
      </c>
      <c r="J9" s="18">
        <v>7760191</v>
      </c>
      <c r="K9" s="24">
        <f t="shared" si="3"/>
        <v>5223.0468809418271</v>
      </c>
    </row>
    <row r="10" spans="1:11" ht="21" customHeight="1">
      <c r="A10" s="7" t="s">
        <v>4</v>
      </c>
      <c r="B10" s="7" t="s">
        <v>76</v>
      </c>
      <c r="C10" s="11" t="s">
        <v>34</v>
      </c>
      <c r="D10" s="18">
        <v>6960000</v>
      </c>
      <c r="E10" s="17">
        <f t="shared" si="0"/>
        <v>4783.8267067023471</v>
      </c>
      <c r="F10" s="18">
        <v>4203550</v>
      </c>
      <c r="G10" s="24">
        <f t="shared" si="1"/>
        <v>2902.020703343142</v>
      </c>
      <c r="H10" s="18">
        <v>4183160</v>
      </c>
      <c r="I10" s="24">
        <f t="shared" si="2"/>
        <v>2810.3689578370754</v>
      </c>
      <c r="J10" s="18">
        <v>3864230</v>
      </c>
      <c r="K10" s="24">
        <f t="shared" si="3"/>
        <v>2600.8450628008818</v>
      </c>
    </row>
    <row r="11" spans="1:11" ht="21" customHeight="1">
      <c r="A11" s="7" t="s">
        <v>5</v>
      </c>
      <c r="B11" s="7" t="s">
        <v>77</v>
      </c>
      <c r="C11" s="11" t="s">
        <v>38</v>
      </c>
      <c r="D11" s="18">
        <v>10496250</v>
      </c>
      <c r="E11" s="17">
        <f t="shared" si="0"/>
        <v>7214.4024526184648</v>
      </c>
      <c r="F11" s="18">
        <v>0</v>
      </c>
      <c r="G11" s="24">
        <f t="shared" si="1"/>
        <v>0</v>
      </c>
      <c r="H11" s="18">
        <v>0</v>
      </c>
      <c r="I11" s="24">
        <f t="shared" si="2"/>
        <v>0</v>
      </c>
      <c r="J11" s="18">
        <v>351400</v>
      </c>
      <c r="K11" s="24">
        <f t="shared" si="3"/>
        <v>236.51204898989704</v>
      </c>
    </row>
    <row r="12" spans="1:11" ht="21" customHeight="1">
      <c r="A12" s="7" t="s">
        <v>6</v>
      </c>
      <c r="B12" s="7" t="s">
        <v>78</v>
      </c>
      <c r="C12" s="11" t="s">
        <v>41</v>
      </c>
      <c r="D12" s="18">
        <v>330000</v>
      </c>
      <c r="E12" s="17">
        <f t="shared" si="0"/>
        <v>226.81936971433544</v>
      </c>
      <c r="F12" s="18">
        <v>0</v>
      </c>
      <c r="G12" s="24">
        <f t="shared" si="1"/>
        <v>0</v>
      </c>
      <c r="H12" s="18">
        <v>0</v>
      </c>
      <c r="I12" s="24">
        <f t="shared" si="2"/>
        <v>0</v>
      </c>
      <c r="J12" s="18">
        <v>0</v>
      </c>
      <c r="K12" s="24">
        <f t="shared" si="3"/>
        <v>0</v>
      </c>
    </row>
    <row r="13" spans="1:11" ht="21" customHeight="1">
      <c r="A13" s="7" t="s">
        <v>7</v>
      </c>
      <c r="B13" s="7" t="s">
        <v>79</v>
      </c>
      <c r="C13" s="11" t="s">
        <v>43</v>
      </c>
      <c r="D13" s="18">
        <v>162464</v>
      </c>
      <c r="E13" s="17">
        <f t="shared" si="0"/>
        <v>111.66661236748422</v>
      </c>
      <c r="F13" s="18">
        <v>220735</v>
      </c>
      <c r="G13" s="24">
        <f t="shared" si="1"/>
        <v>152.38965635057235</v>
      </c>
      <c r="H13" s="18">
        <v>159799</v>
      </c>
      <c r="I13" s="24">
        <f t="shared" si="2"/>
        <v>107.35763133454299</v>
      </c>
      <c r="J13" s="18">
        <v>166125</v>
      </c>
      <c r="K13" s="24">
        <f t="shared" si="3"/>
        <v>111.81150864668938</v>
      </c>
    </row>
    <row r="14" spans="1:11" ht="21" customHeight="1">
      <c r="A14" s="7" t="s">
        <v>8</v>
      </c>
      <c r="B14" s="7" t="s">
        <v>80</v>
      </c>
      <c r="C14" s="11" t="s">
        <v>46</v>
      </c>
      <c r="D14" s="18">
        <v>1181490</v>
      </c>
      <c r="E14" s="17">
        <f t="shared" si="0"/>
        <v>812.07520340542476</v>
      </c>
      <c r="F14" s="18">
        <v>1030420</v>
      </c>
      <c r="G14" s="24">
        <f t="shared" si="1"/>
        <v>711.3749504915703</v>
      </c>
      <c r="H14" s="18">
        <v>1299120</v>
      </c>
      <c r="I14" s="24">
        <f t="shared" si="2"/>
        <v>872.78672594529053</v>
      </c>
      <c r="J14" s="18">
        <v>1359580</v>
      </c>
      <c r="K14" s="24">
        <f t="shared" si="3"/>
        <v>915.07413649881676</v>
      </c>
    </row>
    <row r="15" spans="1:11" ht="21" customHeight="1">
      <c r="A15" s="7" t="s">
        <v>9</v>
      </c>
      <c r="B15" s="7" t="s">
        <v>81</v>
      </c>
      <c r="C15" s="11" t="s">
        <v>48</v>
      </c>
      <c r="D15" s="18">
        <v>461810</v>
      </c>
      <c r="E15" s="17">
        <f t="shared" si="0"/>
        <v>317.41652462962804</v>
      </c>
      <c r="F15" s="18">
        <v>432895</v>
      </c>
      <c r="G15" s="24">
        <f t="shared" si="1"/>
        <v>298.8593575367795</v>
      </c>
      <c r="H15" s="18">
        <v>624654</v>
      </c>
      <c r="I15" s="24">
        <f t="shared" si="2"/>
        <v>419.66078538443679</v>
      </c>
      <c r="J15" s="18">
        <v>490079</v>
      </c>
      <c r="K15" s="24">
        <f t="shared" si="3"/>
        <v>329.85084933670959</v>
      </c>
    </row>
    <row r="16" spans="1:11" ht="21" customHeight="1">
      <c r="A16" s="7" t="s">
        <v>10</v>
      </c>
      <c r="B16" s="7" t="s">
        <v>82</v>
      </c>
      <c r="C16" s="11" t="s">
        <v>31</v>
      </c>
      <c r="D16" s="18">
        <v>0</v>
      </c>
      <c r="E16" s="17">
        <f t="shared" si="0"/>
        <v>0</v>
      </c>
      <c r="F16" s="18">
        <v>0</v>
      </c>
      <c r="G16" s="24">
        <f t="shared" si="1"/>
        <v>0</v>
      </c>
      <c r="H16" s="18">
        <v>0</v>
      </c>
      <c r="I16" s="24">
        <f t="shared" si="2"/>
        <v>0</v>
      </c>
      <c r="J16" s="18">
        <v>0</v>
      </c>
      <c r="K16" s="24">
        <f t="shared" si="3"/>
        <v>0</v>
      </c>
    </row>
    <row r="17" spans="1:11" ht="21" customHeight="1">
      <c r="A17" s="7" t="s">
        <v>11</v>
      </c>
      <c r="B17" s="7" t="s">
        <v>83</v>
      </c>
      <c r="C17" s="11" t="s">
        <v>50</v>
      </c>
      <c r="D17" s="18">
        <v>11126890</v>
      </c>
      <c r="E17" s="17">
        <f t="shared" si="0"/>
        <v>7647.8611414567931</v>
      </c>
      <c r="F17" s="18">
        <v>11126890</v>
      </c>
      <c r="G17" s="24">
        <f t="shared" si="1"/>
        <v>7681.713110066913</v>
      </c>
      <c r="H17" s="18">
        <v>36246290</v>
      </c>
      <c r="I17" s="24">
        <f t="shared" si="2"/>
        <v>24351.315334044219</v>
      </c>
      <c r="J17" s="18">
        <v>36246290</v>
      </c>
      <c r="K17" s="24">
        <f t="shared" si="3"/>
        <v>24395.800558286894</v>
      </c>
    </row>
    <row r="18" spans="1:11" ht="21" customHeight="1">
      <c r="A18" s="7" t="s">
        <v>12</v>
      </c>
      <c r="B18" s="7" t="s">
        <v>84</v>
      </c>
      <c r="C18" s="11" t="s">
        <v>52</v>
      </c>
      <c r="D18" s="18">
        <v>49909</v>
      </c>
      <c r="E18" s="17">
        <f t="shared" si="0"/>
        <v>34.304024009311419</v>
      </c>
      <c r="F18" s="18">
        <v>49909</v>
      </c>
      <c r="G18" s="24">
        <f t="shared" si="1"/>
        <v>34.455864991055861</v>
      </c>
      <c r="H18" s="18">
        <v>49909</v>
      </c>
      <c r="I18" s="24">
        <f t="shared" si="2"/>
        <v>33.530322606998205</v>
      </c>
      <c r="J18" s="18">
        <v>49909</v>
      </c>
      <c r="K18" s="24">
        <f t="shared" si="3"/>
        <v>33.591576132717051</v>
      </c>
    </row>
    <row r="19" spans="1:11" ht="21" customHeight="1">
      <c r="A19" s="7" t="s">
        <v>13</v>
      </c>
      <c r="B19" s="7" t="s">
        <v>85</v>
      </c>
      <c r="C19" s="11" t="s">
        <v>69</v>
      </c>
      <c r="D19" s="18">
        <v>519606</v>
      </c>
      <c r="E19" s="17">
        <f t="shared" si="0"/>
        <v>357.14153157511208</v>
      </c>
      <c r="F19" s="18">
        <v>519598</v>
      </c>
      <c r="G19" s="24">
        <f t="shared" si="1"/>
        <v>358.71683539286789</v>
      </c>
      <c r="H19" s="18">
        <v>517348</v>
      </c>
      <c r="I19" s="24">
        <f t="shared" si="2"/>
        <v>347.5694832612416</v>
      </c>
      <c r="J19" s="18">
        <v>517348</v>
      </c>
      <c r="K19" s="24">
        <f t="shared" si="3"/>
        <v>348.20442663866038</v>
      </c>
    </row>
    <row r="20" spans="1:11" ht="21" customHeight="1">
      <c r="A20" s="7" t="s">
        <v>14</v>
      </c>
      <c r="B20" s="7" t="s">
        <v>86</v>
      </c>
      <c r="C20" s="11" t="s">
        <v>55</v>
      </c>
      <c r="D20" s="18">
        <v>5071000</v>
      </c>
      <c r="E20" s="17">
        <f t="shared" si="0"/>
        <v>3485.4576479436214</v>
      </c>
      <c r="F20" s="18">
        <v>5116800</v>
      </c>
      <c r="G20" s="24">
        <f t="shared" si="1"/>
        <v>3532.5045580202896</v>
      </c>
      <c r="H20" s="18">
        <v>5073000</v>
      </c>
      <c r="I20" s="24">
        <f t="shared" si="2"/>
        <v>3408.1894364804321</v>
      </c>
      <c r="J20" s="18">
        <v>5359000</v>
      </c>
      <c r="K20" s="24">
        <f t="shared" si="3"/>
        <v>3606.9097055687484</v>
      </c>
    </row>
    <row r="21" spans="1:11" ht="21" customHeight="1">
      <c r="A21" s="7" t="s">
        <v>15</v>
      </c>
      <c r="B21" s="7" t="s">
        <v>87</v>
      </c>
      <c r="C21" s="11" t="s">
        <v>57</v>
      </c>
      <c r="D21" s="18">
        <v>290410</v>
      </c>
      <c r="E21" s="17">
        <f t="shared" si="0"/>
        <v>199.60791866284896</v>
      </c>
      <c r="F21" s="18">
        <v>524191</v>
      </c>
      <c r="G21" s="24">
        <f t="shared" si="1"/>
        <v>361.88772216487132</v>
      </c>
      <c r="H21" s="18">
        <v>0</v>
      </c>
      <c r="I21" s="24">
        <f t="shared" si="2"/>
        <v>0</v>
      </c>
      <c r="J21" s="18">
        <v>0</v>
      </c>
      <c r="K21" s="24">
        <f t="shared" si="3"/>
        <v>0</v>
      </c>
    </row>
    <row r="22" spans="1:11" ht="21" customHeight="1">
      <c r="A22" s="7" t="s">
        <v>16</v>
      </c>
      <c r="B22" s="7" t="s">
        <v>88</v>
      </c>
      <c r="C22" s="11" t="s">
        <v>58</v>
      </c>
      <c r="D22" s="18">
        <v>0</v>
      </c>
      <c r="E22" s="17">
        <f t="shared" si="0"/>
        <v>0</v>
      </c>
      <c r="F22" s="18">
        <v>40000</v>
      </c>
      <c r="G22" s="24">
        <f t="shared" si="1"/>
        <v>27.614951204036036</v>
      </c>
      <c r="H22" s="18">
        <v>40000</v>
      </c>
      <c r="I22" s="24">
        <f t="shared" si="2"/>
        <v>26.87316724999355</v>
      </c>
      <c r="J22" s="18">
        <v>190000</v>
      </c>
      <c r="K22" s="24">
        <f t="shared" si="3"/>
        <v>127.88073223699612</v>
      </c>
    </row>
    <row r="23" spans="1:11" ht="21" customHeight="1">
      <c r="A23" s="7" t="s">
        <v>17</v>
      </c>
      <c r="B23" s="7" t="s">
        <v>89</v>
      </c>
      <c r="C23" s="11" t="s">
        <v>60</v>
      </c>
      <c r="D23" s="18">
        <v>216610</v>
      </c>
      <c r="E23" s="17">
        <f t="shared" si="0"/>
        <v>148.88285961764302</v>
      </c>
      <c r="F23" s="18">
        <v>159170</v>
      </c>
      <c r="G23" s="24">
        <f t="shared" si="1"/>
        <v>109.88679457866039</v>
      </c>
      <c r="H23" s="18">
        <v>95000</v>
      </c>
      <c r="I23" s="24">
        <f t="shared" si="2"/>
        <v>63.823772218734682</v>
      </c>
      <c r="J23" s="18">
        <v>1233160</v>
      </c>
      <c r="K23" s="24">
        <f t="shared" si="3"/>
        <v>829.98633560723226</v>
      </c>
    </row>
    <row r="24" spans="1:11" ht="21" customHeight="1">
      <c r="A24" s="7" t="s">
        <v>18</v>
      </c>
      <c r="B24" s="7" t="s">
        <v>90</v>
      </c>
      <c r="C24" s="11" t="s">
        <v>62</v>
      </c>
      <c r="D24" s="18">
        <v>2000</v>
      </c>
      <c r="E24" s="17">
        <f t="shared" si="0"/>
        <v>1.3746628467535482</v>
      </c>
      <c r="F24" s="18">
        <v>11297592</v>
      </c>
      <c r="G24" s="24">
        <f t="shared" si="1"/>
        <v>7799.5612950776967</v>
      </c>
      <c r="H24" s="18">
        <v>12596516</v>
      </c>
      <c r="I24" s="24">
        <f t="shared" si="2"/>
        <v>8462.7070308804941</v>
      </c>
      <c r="J24" s="18">
        <v>16541600</v>
      </c>
      <c r="K24" s="24">
        <f t="shared" si="3"/>
        <v>11133.431159849973</v>
      </c>
    </row>
    <row r="25" spans="1:11" ht="21" customHeight="1">
      <c r="A25" s="7" t="s">
        <v>19</v>
      </c>
      <c r="B25" s="7" t="s">
        <v>91</v>
      </c>
      <c r="C25" s="11" t="s">
        <v>64</v>
      </c>
      <c r="D25" s="18">
        <v>164048505</v>
      </c>
      <c r="E25" s="17">
        <f t="shared" si="0"/>
        <v>112755.69244448183</v>
      </c>
      <c r="F25" s="18">
        <v>99262515</v>
      </c>
      <c r="G25" s="24">
        <f t="shared" si="1"/>
        <v>68528.237702872371</v>
      </c>
      <c r="H25" s="18">
        <v>92394492</v>
      </c>
      <c r="I25" s="24">
        <f t="shared" si="2"/>
        <v>62073.315912354774</v>
      </c>
      <c r="J25" s="18">
        <v>78749835</v>
      </c>
      <c r="K25" s="24">
        <f t="shared" si="3"/>
        <v>53003.087175487504</v>
      </c>
    </row>
    <row r="26" spans="1:11" ht="21" customHeight="1">
      <c r="A26" s="7" t="s">
        <v>20</v>
      </c>
      <c r="B26" s="7" t="s">
        <v>92</v>
      </c>
      <c r="C26" s="11" t="s">
        <v>66</v>
      </c>
      <c r="D26" s="18">
        <v>1600</v>
      </c>
      <c r="E26" s="17">
        <f t="shared" si="0"/>
        <v>1.0997302774028386</v>
      </c>
      <c r="F26" s="18">
        <v>3600</v>
      </c>
      <c r="G26" s="24">
        <f>F26/$G$2</f>
        <v>2.485345608363243</v>
      </c>
      <c r="H26" s="18">
        <v>6400</v>
      </c>
      <c r="I26" s="24">
        <f t="shared" si="2"/>
        <v>4.2997067599989682</v>
      </c>
      <c r="J26" s="18">
        <v>9600</v>
      </c>
      <c r="K26" s="24">
        <f t="shared" si="3"/>
        <v>6.4613422603955932</v>
      </c>
    </row>
    <row r="27" spans="1:11" ht="21" customHeight="1">
      <c r="A27" s="6" t="s">
        <v>21</v>
      </c>
      <c r="B27" s="6"/>
      <c r="C27" s="8"/>
      <c r="D27" s="19"/>
      <c r="E27" s="20"/>
      <c r="F27" s="19"/>
      <c r="G27" s="20"/>
      <c r="H27" s="19"/>
      <c r="I27" s="20"/>
      <c r="J27" s="19"/>
      <c r="K27" s="20"/>
    </row>
    <row r="28" spans="1:11" ht="21" customHeight="1">
      <c r="A28" s="6" t="s">
        <v>22</v>
      </c>
      <c r="B28" s="185" t="s">
        <v>98</v>
      </c>
      <c r="C28" s="186"/>
      <c r="D28" s="21">
        <v>0</v>
      </c>
      <c r="E28" s="22"/>
      <c r="F28" s="21">
        <v>30014</v>
      </c>
      <c r="G28" s="22"/>
      <c r="H28" s="21"/>
      <c r="I28" s="22"/>
      <c r="J28" s="21"/>
      <c r="K28" s="22"/>
    </row>
    <row r="29" spans="1:11" ht="21" customHeight="1">
      <c r="A29" s="7" t="s">
        <v>23</v>
      </c>
      <c r="B29" s="7" t="s">
        <v>93</v>
      </c>
      <c r="C29" s="11" t="s">
        <v>32</v>
      </c>
      <c r="D29" s="18">
        <v>0</v>
      </c>
      <c r="E29" s="23"/>
      <c r="F29" s="18">
        <v>0</v>
      </c>
      <c r="G29" s="23"/>
      <c r="H29" s="18">
        <v>76659</v>
      </c>
      <c r="I29" s="23"/>
      <c r="J29" s="18">
        <v>0</v>
      </c>
      <c r="K29" s="23"/>
    </row>
    <row r="30" spans="1:11" ht="21" customHeight="1">
      <c r="A30" s="7" t="s">
        <v>24</v>
      </c>
      <c r="B30" s="7" t="s">
        <v>95</v>
      </c>
      <c r="C30" s="11" t="s">
        <v>67</v>
      </c>
      <c r="D30" s="18">
        <v>0</v>
      </c>
      <c r="E30" s="23"/>
      <c r="F30" s="18">
        <v>30000</v>
      </c>
      <c r="G30" s="23"/>
      <c r="H30" s="18">
        <v>0</v>
      </c>
      <c r="I30" s="23"/>
      <c r="J30" s="18">
        <v>0</v>
      </c>
      <c r="K30" s="23"/>
    </row>
    <row r="31" spans="1:11" ht="21" customHeight="1">
      <c r="A31" s="7" t="s">
        <v>100</v>
      </c>
      <c r="B31" s="7" t="s">
        <v>101</v>
      </c>
      <c r="C31" s="11" t="s">
        <v>67</v>
      </c>
      <c r="D31" s="18">
        <v>0</v>
      </c>
      <c r="E31" s="23"/>
      <c r="F31" s="18">
        <v>14</v>
      </c>
      <c r="G31" s="23"/>
      <c r="H31" s="18">
        <v>101030</v>
      </c>
      <c r="I31" s="23"/>
      <c r="J31" s="18">
        <v>-50890</v>
      </c>
      <c r="K31" s="23"/>
    </row>
    <row r="32" spans="1:11" ht="21" customHeight="1">
      <c r="A32" s="7" t="s">
        <v>25</v>
      </c>
      <c r="B32" s="7" t="s">
        <v>94</v>
      </c>
      <c r="C32" s="11" t="s">
        <v>32</v>
      </c>
      <c r="D32" s="18"/>
      <c r="E32" s="23"/>
      <c r="F32" s="18"/>
      <c r="G32" s="23"/>
      <c r="H32" s="18">
        <v>22</v>
      </c>
      <c r="I32" s="23"/>
      <c r="J32" s="18">
        <v>7</v>
      </c>
      <c r="K32" s="23"/>
    </row>
    <row r="33" spans="1:12" ht="21" customHeight="1">
      <c r="A33" s="6" t="s">
        <v>26</v>
      </c>
      <c r="B33" s="185" t="s">
        <v>98</v>
      </c>
      <c r="C33" s="186"/>
      <c r="D33" s="21">
        <v>0</v>
      </c>
      <c r="E33" s="22"/>
      <c r="F33" s="21">
        <v>8752811</v>
      </c>
      <c r="G33" s="22"/>
      <c r="H33" s="21">
        <v>0</v>
      </c>
      <c r="I33" s="22"/>
      <c r="J33" s="21"/>
      <c r="K33" s="22"/>
    </row>
    <row r="34" spans="1:12" ht="21" customHeight="1">
      <c r="A34" s="7" t="s">
        <v>27</v>
      </c>
      <c r="B34" s="7" t="s">
        <v>96</v>
      </c>
      <c r="C34" s="11" t="s">
        <v>67</v>
      </c>
      <c r="D34" s="18">
        <v>0</v>
      </c>
      <c r="E34" s="23"/>
      <c r="F34" s="18">
        <v>8752811</v>
      </c>
      <c r="G34" s="23"/>
      <c r="H34" s="18">
        <v>0</v>
      </c>
      <c r="I34" s="23"/>
      <c r="J34" s="18">
        <v>0</v>
      </c>
      <c r="K34" s="23"/>
    </row>
    <row r="35" spans="1:12" ht="21" customHeight="1">
      <c r="A35" s="6" t="s">
        <v>28</v>
      </c>
      <c r="B35" s="6"/>
      <c r="C35" s="8"/>
      <c r="D35" s="19"/>
      <c r="E35" s="20"/>
      <c r="F35" s="19"/>
      <c r="G35" s="20"/>
      <c r="H35" s="19"/>
      <c r="I35" s="20"/>
      <c r="J35" s="19"/>
      <c r="K35" s="20"/>
    </row>
    <row r="36" spans="1:12" ht="21" customHeight="1">
      <c r="A36" s="6" t="s">
        <v>29</v>
      </c>
      <c r="B36" s="185" t="s">
        <v>98</v>
      </c>
      <c r="C36" s="186"/>
      <c r="D36" s="21">
        <v>0</v>
      </c>
      <c r="E36" s="22"/>
      <c r="F36" s="21">
        <v>0</v>
      </c>
      <c r="G36" s="22"/>
      <c r="H36" s="21">
        <v>9925370</v>
      </c>
      <c r="I36" s="22"/>
      <c r="J36" s="21"/>
      <c r="K36" s="22"/>
    </row>
    <row r="37" spans="1:12" ht="21" customHeight="1">
      <c r="A37" s="7" t="s">
        <v>30</v>
      </c>
      <c r="B37" s="7" t="s">
        <v>97</v>
      </c>
      <c r="C37" s="11" t="s">
        <v>31</v>
      </c>
      <c r="D37" s="18">
        <v>0</v>
      </c>
      <c r="E37" s="23"/>
      <c r="F37" s="18">
        <v>0</v>
      </c>
      <c r="G37" s="23"/>
      <c r="H37" s="18">
        <v>9925370</v>
      </c>
      <c r="I37" s="24">
        <f t="shared" ref="I37" si="4">H37/$I$2</f>
        <v>6668.1532007017122</v>
      </c>
      <c r="J37" s="18">
        <v>0</v>
      </c>
      <c r="K37" s="23"/>
    </row>
    <row r="38" spans="1:12" ht="21" customHeight="1">
      <c r="A38" s="6"/>
      <c r="B38" s="8"/>
      <c r="C38" s="8"/>
      <c r="D38" s="19"/>
      <c r="E38" s="20"/>
      <c r="F38" s="19"/>
      <c r="G38" s="20"/>
      <c r="H38" s="19"/>
      <c r="I38" s="20"/>
      <c r="J38" s="19"/>
      <c r="K38" s="20"/>
    </row>
    <row r="39" spans="1:12" ht="15.6">
      <c r="C39" s="36" t="s">
        <v>106</v>
      </c>
      <c r="D39" s="26">
        <f>SUM(D6:D26)</f>
        <v>249666113</v>
      </c>
      <c r="E39" s="27">
        <f>SUM(E6:E26)</f>
        <v>171603.36481723652</v>
      </c>
      <c r="F39" s="26">
        <f>SUM(F6:F26)</f>
        <v>252898961</v>
      </c>
      <c r="G39" s="27">
        <f>SUM(G6:G26)</f>
        <v>174594.8116891603</v>
      </c>
      <c r="H39" s="26">
        <f>SUM(H6:H26)+H37</f>
        <v>213138159</v>
      </c>
      <c r="I39" s="27">
        <f>SUM(I6:I26)+I37</f>
        <v>143192.43485406798</v>
      </c>
      <c r="J39" s="26">
        <f>SUM(J6:J26)</f>
        <v>562762576</v>
      </c>
      <c r="K39" s="27">
        <f>SUM(K6:K26)</f>
        <v>378771.00154977984</v>
      </c>
    </row>
    <row r="40" spans="1:12" ht="19.2" customHeight="1" thickBot="1">
      <c r="C40" s="28" t="s">
        <v>107</v>
      </c>
      <c r="D40" s="29">
        <f t="shared" ref="D40:K40" si="5">D39*0.06</f>
        <v>14979966.779999999</v>
      </c>
      <c r="E40" s="30">
        <f t="shared" si="5"/>
        <v>10296.201889034191</v>
      </c>
      <c r="F40" s="29">
        <f t="shared" si="5"/>
        <v>15173937.66</v>
      </c>
      <c r="G40" s="30">
        <f t="shared" si="5"/>
        <v>10475.688701349618</v>
      </c>
      <c r="H40" s="29">
        <f t="shared" si="5"/>
        <v>12788289.539999999</v>
      </c>
      <c r="I40" s="30">
        <f t="shared" si="5"/>
        <v>8591.5460912440776</v>
      </c>
      <c r="J40" s="29">
        <f t="shared" si="5"/>
        <v>33765754.560000002</v>
      </c>
      <c r="K40" s="30">
        <f t="shared" si="5"/>
        <v>22726.260092986791</v>
      </c>
    </row>
    <row r="41" spans="1:12" ht="15.6">
      <c r="C41" s="31"/>
      <c r="D41" s="31"/>
      <c r="E41" s="32"/>
      <c r="F41" s="32"/>
      <c r="G41" s="32"/>
      <c r="H41" s="32"/>
      <c r="I41" s="32"/>
      <c r="J41" s="31"/>
      <c r="K41" s="31"/>
    </row>
    <row r="42" spans="1:12" ht="15.6">
      <c r="C42" s="33" t="s">
        <v>111</v>
      </c>
      <c r="D42" s="34">
        <f>D39+D40</f>
        <v>264646079.78</v>
      </c>
      <c r="E42" s="35">
        <f t="shared" ref="E42:K42" si="6">E39+E40</f>
        <v>181899.56670627071</v>
      </c>
      <c r="F42" s="34">
        <f t="shared" si="6"/>
        <v>268072898.66</v>
      </c>
      <c r="G42" s="35">
        <f t="shared" si="6"/>
        <v>185070.50039050993</v>
      </c>
      <c r="H42" s="34">
        <f t="shared" si="6"/>
        <v>225926448.53999999</v>
      </c>
      <c r="I42" s="35">
        <f t="shared" si="6"/>
        <v>151783.98094531207</v>
      </c>
      <c r="J42" s="34">
        <f t="shared" si="6"/>
        <v>596528330.55999994</v>
      </c>
      <c r="K42" s="35">
        <f t="shared" si="6"/>
        <v>401497.26164276665</v>
      </c>
      <c r="L42" s="3"/>
    </row>
    <row r="43" spans="1:12" ht="13.8" thickBot="1">
      <c r="L43" s="3"/>
    </row>
    <row r="44" spans="1:12" ht="16.8">
      <c r="B44" s="37" t="s">
        <v>109</v>
      </c>
      <c r="C44" s="38" t="s">
        <v>106</v>
      </c>
      <c r="D44" s="75">
        <f>E44*$E$2</f>
        <v>249290441.31169978</v>
      </c>
      <c r="E44" s="43">
        <v>171345.15386099476</v>
      </c>
      <c r="F44" s="75">
        <f>G44*$G$2</f>
        <v>252049980.70607156</v>
      </c>
      <c r="G44" s="43">
        <v>174008.69795440976</v>
      </c>
      <c r="H44" s="75">
        <f>I44*$I$2</f>
        <v>214428605.812971</v>
      </c>
      <c r="I44" s="43">
        <v>144059.39467987273</v>
      </c>
      <c r="J44" s="75">
        <f>K44*$K$2</f>
        <v>558811169.86271012</v>
      </c>
      <c r="K44" s="45">
        <v>376111.48202239885</v>
      </c>
    </row>
    <row r="45" spans="1:12" ht="15.6">
      <c r="B45" s="39"/>
      <c r="C45" s="28" t="s">
        <v>107</v>
      </c>
      <c r="D45" s="76">
        <f>E45*$E$2</f>
        <v>14957426.478701985</v>
      </c>
      <c r="E45" s="44">
        <v>10280.709231659685</v>
      </c>
      <c r="F45" s="78">
        <f>G45*$G$2</f>
        <v>15122998.842364294</v>
      </c>
      <c r="G45" s="44">
        <v>10440.521877264586</v>
      </c>
      <c r="H45" s="76">
        <f>I45*$I$2</f>
        <v>12865716.348778261</v>
      </c>
      <c r="I45" s="44">
        <v>8643.5636807923638</v>
      </c>
      <c r="J45" s="76">
        <f>K45*$K$2</f>
        <v>33528670.191762604</v>
      </c>
      <c r="K45" s="46">
        <v>22566.688921343932</v>
      </c>
    </row>
    <row r="46" spans="1:12" ht="15.6">
      <c r="B46" s="39"/>
      <c r="C46" s="31"/>
      <c r="D46" s="42"/>
      <c r="E46" s="44"/>
      <c r="G46" s="44"/>
      <c r="H46" s="44"/>
      <c r="I46" s="44"/>
      <c r="J46" s="44"/>
      <c r="K46" s="46"/>
    </row>
    <row r="47" spans="1:12" ht="16.2" thickBot="1">
      <c r="B47" s="40"/>
      <c r="C47" s="41" t="s">
        <v>111</v>
      </c>
      <c r="D47" s="77">
        <f t="shared" ref="D47:K47" si="7">D44+D45</f>
        <v>264247867.79040176</v>
      </c>
      <c r="E47" s="47">
        <f t="shared" si="7"/>
        <v>181625.86309265444</v>
      </c>
      <c r="F47" s="77">
        <f t="shared" si="7"/>
        <v>267172979.54843584</v>
      </c>
      <c r="G47" s="47">
        <f t="shared" si="7"/>
        <v>184449.21983167433</v>
      </c>
      <c r="H47" s="77">
        <f t="shared" si="7"/>
        <v>227294322.16174924</v>
      </c>
      <c r="I47" s="47">
        <f t="shared" si="7"/>
        <v>152702.9583606651</v>
      </c>
      <c r="J47" s="77">
        <f t="shared" si="7"/>
        <v>592339840.05447268</v>
      </c>
      <c r="K47" s="47">
        <f t="shared" si="7"/>
        <v>398678.17094374279</v>
      </c>
    </row>
    <row r="49" spans="1:11">
      <c r="C49" s="49" t="s">
        <v>139</v>
      </c>
      <c r="D49" s="48"/>
      <c r="E49" s="50">
        <f>E39-E44</f>
        <v>258.21095624176087</v>
      </c>
      <c r="F49" s="48"/>
      <c r="G49" s="50">
        <f>G39-G44</f>
        <v>586.11373475054279</v>
      </c>
      <c r="H49" s="48"/>
      <c r="I49" s="50">
        <f>I39-I44</f>
        <v>-866.95982580474811</v>
      </c>
      <c r="J49" s="48"/>
      <c r="K49" s="50">
        <f>K39-K44</f>
        <v>2659.519527380995</v>
      </c>
    </row>
    <row r="50" spans="1:11">
      <c r="C50" s="49" t="s">
        <v>140</v>
      </c>
      <c r="D50" s="48"/>
      <c r="E50" s="50">
        <f>E42-E47</f>
        <v>273.70361361626419</v>
      </c>
      <c r="F50" s="48"/>
      <c r="G50" s="50">
        <f>G42-G47</f>
        <v>621.28055883559864</v>
      </c>
      <c r="H50" s="48"/>
      <c r="I50" s="50">
        <f>I42-I47</f>
        <v>-918.97741535303066</v>
      </c>
      <c r="J50" s="48"/>
      <c r="K50" s="50">
        <f>K42-K47</f>
        <v>2819.0906990238582</v>
      </c>
    </row>
    <row r="51" spans="1:11">
      <c r="E51" s="3"/>
      <c r="G51" s="3"/>
      <c r="I51" s="3"/>
      <c r="K51" s="3"/>
    </row>
    <row r="52" spans="1:11">
      <c r="C52" s="241" t="s">
        <v>345</v>
      </c>
      <c r="D52" s="242"/>
      <c r="E52" s="245">
        <v>181625.86</v>
      </c>
      <c r="F52" s="245"/>
      <c r="G52" s="245">
        <v>184449.22</v>
      </c>
      <c r="H52" s="245"/>
      <c r="I52" s="245">
        <v>152702.96</v>
      </c>
      <c r="J52" s="245"/>
      <c r="K52" s="245">
        <v>166569.98000000001</v>
      </c>
    </row>
    <row r="53" spans="1:11">
      <c r="D53" s="79"/>
      <c r="E53" s="246"/>
      <c r="F53" s="246"/>
      <c r="G53" s="246"/>
      <c r="H53" s="246"/>
      <c r="I53" s="246"/>
      <c r="J53" s="246"/>
      <c r="K53" s="246"/>
    </row>
    <row r="54" spans="1:11">
      <c r="A54" s="78"/>
      <c r="C54" s="244" t="s">
        <v>346</v>
      </c>
      <c r="D54" s="243"/>
      <c r="E54" s="247">
        <f>E42-E52</f>
        <v>273.70670627072104</v>
      </c>
      <c r="F54" s="247"/>
      <c r="G54" s="247">
        <f>G42-G52</f>
        <v>621.28039050992811</v>
      </c>
      <c r="H54" s="247"/>
      <c r="I54" s="247">
        <f>I42-I52</f>
        <v>-918.97905468792305</v>
      </c>
      <c r="J54" s="247"/>
      <c r="K54" s="247">
        <f>K42-K52</f>
        <v>234927.28164276664</v>
      </c>
    </row>
    <row r="55" spans="1:11">
      <c r="D55" s="3"/>
      <c r="F55" s="3"/>
      <c r="H55" s="3"/>
      <c r="J55" s="3"/>
    </row>
    <row r="56" spans="1:11">
      <c r="A56" s="3"/>
    </row>
    <row r="58" spans="1:11">
      <c r="D58" s="79"/>
    </row>
  </sheetData>
  <mergeCells count="8">
    <mergeCell ref="J3:K3"/>
    <mergeCell ref="B5:C5"/>
    <mergeCell ref="B28:C28"/>
    <mergeCell ref="B33:C33"/>
    <mergeCell ref="B36:C36"/>
    <mergeCell ref="D3:E3"/>
    <mergeCell ref="F3:G3"/>
    <mergeCell ref="H3:I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5896-1AEB-47B6-9A1B-6617BDC2E091}">
  <sheetPr>
    <tabColor rgb="FFFFFF00"/>
  </sheetPr>
  <dimension ref="A1:W51"/>
  <sheetViews>
    <sheetView topLeftCell="A27" workbookViewId="0">
      <selection activeCell="B45" sqref="B45:B47"/>
    </sheetView>
  </sheetViews>
  <sheetFormatPr defaultRowHeight="17.399999999999999"/>
  <cols>
    <col min="1" max="1" width="14.44140625" style="52" bestFit="1" customWidth="1"/>
    <col min="2" max="2" width="32.5546875" style="52" bestFit="1" customWidth="1"/>
    <col min="3" max="3" width="32.5546875" style="52" customWidth="1"/>
    <col min="4" max="4" width="20.33203125" style="52" bestFit="1" customWidth="1"/>
    <col min="5" max="5" width="15.5546875" style="52" customWidth="1"/>
    <col min="6" max="6" width="13" style="52" customWidth="1"/>
    <col min="7" max="7" width="29" style="52" customWidth="1"/>
    <col min="8" max="12" width="8.88671875" style="52"/>
    <col min="13" max="13" width="11.6640625" style="52" customWidth="1"/>
    <col min="14" max="14" width="29.88671875" style="52" bestFit="1" customWidth="1"/>
    <col min="15" max="19" width="8.88671875" style="52"/>
    <col min="20" max="20" width="34.5546875" style="52" customWidth="1"/>
    <col min="21" max="21" width="18.21875" style="52" customWidth="1"/>
    <col min="22" max="16384" width="8.88671875" style="52"/>
  </cols>
  <sheetData>
    <row r="1" spans="1:6" ht="19.2">
      <c r="A1" s="51" t="s">
        <v>112</v>
      </c>
    </row>
    <row r="2" spans="1:6" ht="19.2">
      <c r="A2" s="51" t="s">
        <v>113</v>
      </c>
    </row>
    <row r="3" spans="1:6" ht="19.2">
      <c r="A3" s="51" t="s">
        <v>114</v>
      </c>
    </row>
    <row r="4" spans="1:6">
      <c r="D4" s="52">
        <v>1454.9022</v>
      </c>
    </row>
    <row r="6" spans="1:6" ht="15" customHeight="1">
      <c r="A6" s="53" t="s">
        <v>115</v>
      </c>
      <c r="B6" s="53" t="s">
        <v>116</v>
      </c>
      <c r="C6" s="53" t="s">
        <v>170</v>
      </c>
      <c r="D6" s="54" t="s">
        <v>117</v>
      </c>
      <c r="E6" s="54" t="s">
        <v>149</v>
      </c>
    </row>
    <row r="7" spans="1:6">
      <c r="A7" s="81" t="s">
        <v>33</v>
      </c>
      <c r="B7" s="82" t="s">
        <v>118</v>
      </c>
      <c r="C7" s="82" t="s">
        <v>154</v>
      </c>
      <c r="D7" s="83">
        <v>30069.079510733758</v>
      </c>
      <c r="E7" s="83">
        <f>_xlfn.XLOOKUP(A7,'Jan–Apr 2026 Summary'!B:B,'Jan–Apr 2026 Summary'!E:E)</f>
        <v>30069.078870043635</v>
      </c>
      <c r="F7" s="84">
        <f>D7-E7</f>
        <v>6.4069012296386063E-4</v>
      </c>
    </row>
    <row r="8" spans="1:6">
      <c r="A8" s="81" t="s">
        <v>35</v>
      </c>
      <c r="B8" s="82" t="s">
        <v>119</v>
      </c>
      <c r="C8" s="82" t="s">
        <v>155</v>
      </c>
      <c r="D8" s="83">
        <v>3436.6571901096672</v>
      </c>
      <c r="E8" s="83">
        <f>_xlfn.XLOOKUP(A8,'Jan–Apr 2026 Summary'!B:B,'Jan–Apr 2026 Summary'!E:E)</f>
        <v>3436.6571168838705</v>
      </c>
      <c r="F8" s="84">
        <f t="shared" ref="F8:F25" si="0">D8-E8</f>
        <v>7.3225796768383589E-5</v>
      </c>
    </row>
    <row r="9" spans="1:6">
      <c r="A9" s="81" t="s">
        <v>70</v>
      </c>
      <c r="B9" s="82" t="s">
        <v>120</v>
      </c>
      <c r="C9" s="82" t="s">
        <v>156</v>
      </c>
      <c r="D9" s="83">
        <v>4783.826808632657</v>
      </c>
      <c r="E9" s="83">
        <f>_xlfn.XLOOKUP(A9,'Jan–Apr 2026 Summary'!B:B,'Jan–Apr 2026 Summary'!E:E)</f>
        <v>4783.8267067023471</v>
      </c>
      <c r="F9" s="84">
        <f t="shared" si="0"/>
        <v>1.0193030993832508E-4</v>
      </c>
    </row>
    <row r="10" spans="1:6">
      <c r="A10" s="205" t="s">
        <v>37</v>
      </c>
      <c r="B10" s="206" t="s">
        <v>121</v>
      </c>
      <c r="C10" s="206" t="s">
        <v>39</v>
      </c>
      <c r="D10" s="69">
        <v>10429.239383448881</v>
      </c>
      <c r="E10" s="69">
        <f>_xlfn.XLOOKUP(A10,'Jan–Apr 2026 Summary'!B:B,'Jan–Apr 2026 Summary'!E:E)+3312.94</f>
        <v>10527.342452618464</v>
      </c>
      <c r="F10" s="216">
        <f>D10-E10</f>
        <v>-98.10306916958325</v>
      </c>
    </row>
    <row r="11" spans="1:6">
      <c r="A11" s="63" t="s">
        <v>40</v>
      </c>
      <c r="B11" s="55" t="s">
        <v>122</v>
      </c>
      <c r="C11" s="55" t="s">
        <v>157</v>
      </c>
      <c r="D11" s="56">
        <v>206.19943140658003</v>
      </c>
      <c r="E11" s="56">
        <f>_xlfn.XLOOKUP(A11,'Jan–Apr 2026 Summary'!B:B,'Jan–Apr 2026 Summary'!E:E)</f>
        <v>226.81936971433544</v>
      </c>
      <c r="F11" s="80">
        <f>D11-E11</f>
        <v>-20.619938307755405</v>
      </c>
    </row>
    <row r="12" spans="1:6">
      <c r="A12" s="81" t="s">
        <v>42</v>
      </c>
      <c r="B12" s="82" t="s">
        <v>123</v>
      </c>
      <c r="C12" s="82" t="s">
        <v>44</v>
      </c>
      <c r="D12" s="83">
        <v>111.66661474679539</v>
      </c>
      <c r="E12" s="83">
        <f>_xlfn.XLOOKUP(A12,'Jan–Apr 2026 Summary'!B:B,'Jan–Apr 2026 Summary'!E:E)</f>
        <v>111.66661236748422</v>
      </c>
      <c r="F12" s="84">
        <f t="shared" si="0"/>
        <v>2.3793111694203617E-6</v>
      </c>
    </row>
    <row r="13" spans="1:6">
      <c r="A13" s="81" t="s">
        <v>45</v>
      </c>
      <c r="B13" s="82" t="s">
        <v>124</v>
      </c>
      <c r="C13" s="82" t="s">
        <v>158</v>
      </c>
      <c r="D13" s="83">
        <v>345.0747484589117</v>
      </c>
      <c r="E13" s="98">
        <f>812.075203405425+316.56-783.56</f>
        <v>345.0752034054251</v>
      </c>
      <c r="F13" s="84">
        <f t="shared" si="0"/>
        <v>-4.5494651340050041E-4</v>
      </c>
    </row>
    <row r="14" spans="1:6">
      <c r="A14" s="81" t="s">
        <v>47</v>
      </c>
      <c r="B14" s="82" t="s">
        <v>125</v>
      </c>
      <c r="C14" s="82" t="s">
        <v>159</v>
      </c>
      <c r="D14" s="83">
        <v>0.85916429752741674</v>
      </c>
      <c r="E14" s="83">
        <v>0.86</v>
      </c>
      <c r="F14" s="84">
        <f t="shared" si="0"/>
        <v>-8.3570247258324404E-4</v>
      </c>
    </row>
    <row r="15" spans="1:6">
      <c r="A15" s="81" t="s">
        <v>49</v>
      </c>
      <c r="B15" s="82" t="s">
        <v>126</v>
      </c>
      <c r="C15" s="82" t="s">
        <v>160</v>
      </c>
      <c r="D15" s="83">
        <v>7647.8613044118711</v>
      </c>
      <c r="E15" s="83">
        <f>_xlfn.XLOOKUP(A15,'Jan–Apr 2026 Summary'!B:B,'Jan–Apr 2026 Summary'!E:E)</f>
        <v>7647.8611414567931</v>
      </c>
      <c r="F15" s="84">
        <f t="shared" si="0"/>
        <v>1.6295507793984143E-4</v>
      </c>
    </row>
    <row r="16" spans="1:6">
      <c r="A16" s="81" t="s">
        <v>51</v>
      </c>
      <c r="B16" s="82" t="s">
        <v>127</v>
      </c>
      <c r="C16" s="82" t="s">
        <v>53</v>
      </c>
      <c r="D16" s="83">
        <v>34.304024740236677</v>
      </c>
      <c r="E16" s="83">
        <f>_xlfn.XLOOKUP(A16,'Jan–Apr 2026 Summary'!B:B,'Jan–Apr 2026 Summary'!E:E)</f>
        <v>34.304024009311419</v>
      </c>
      <c r="F16" s="84">
        <f t="shared" si="0"/>
        <v>7.3092525809670406E-7</v>
      </c>
    </row>
    <row r="17" spans="1:6">
      <c r="A17" s="81" t="s">
        <v>68</v>
      </c>
      <c r="B17" s="82" t="s">
        <v>128</v>
      </c>
      <c r="C17" s="82" t="s">
        <v>161</v>
      </c>
      <c r="D17" s="83">
        <v>357.14153918482475</v>
      </c>
      <c r="E17" s="83">
        <f>_xlfn.XLOOKUP(A17,'Jan–Apr 2026 Summary'!B:B,'Jan–Apr 2026 Summary'!E:E)</f>
        <v>357.14153157511208</v>
      </c>
      <c r="F17" s="84">
        <f t="shared" si="0"/>
        <v>7.6097126679997018E-6</v>
      </c>
    </row>
    <row r="18" spans="1:6">
      <c r="A18" s="81" t="s">
        <v>54</v>
      </c>
      <c r="B18" s="82" t="s">
        <v>129</v>
      </c>
      <c r="C18" s="82" t="s">
        <v>162</v>
      </c>
      <c r="D18" s="83">
        <v>172.5201909435053</v>
      </c>
      <c r="E18" s="83">
        <f>_xlfn.XLOOKUP(A18,'Jan–Apr 2026 Summary'!B:B,'Jan–Apr 2026 Summary'!E:E)-3312.94</f>
        <v>172.51764794362134</v>
      </c>
      <c r="F18" s="248">
        <f>D18-E18</f>
        <v>2.5429998839570089E-3</v>
      </c>
    </row>
    <row r="19" spans="1:6">
      <c r="A19" s="81" t="s">
        <v>137</v>
      </c>
      <c r="B19" s="82" t="s">
        <v>130</v>
      </c>
      <c r="C19" s="82" t="s">
        <v>163</v>
      </c>
      <c r="D19" s="83">
        <v>783.55783934500414</v>
      </c>
      <c r="E19" s="83">
        <v>783.56</v>
      </c>
      <c r="F19" s="84">
        <f t="shared" si="0"/>
        <v>-2.1606549958050891E-3</v>
      </c>
    </row>
    <row r="20" spans="1:6">
      <c r="A20" s="63" t="s">
        <v>56</v>
      </c>
      <c r="B20" s="55" t="s">
        <v>131</v>
      </c>
      <c r="C20" s="55" t="s">
        <v>164</v>
      </c>
      <c r="D20" s="56">
        <v>60.114007569398296</v>
      </c>
      <c r="E20" s="56">
        <f>_xlfn.XLOOKUP(A20,'Jan–Apr 2026 Summary'!B:B,'Jan–Apr 2026 Summary'!E:E)</f>
        <v>199.60791866284896</v>
      </c>
      <c r="F20" s="80">
        <f t="shared" si="0"/>
        <v>-139.49391109345066</v>
      </c>
    </row>
    <row r="21" spans="1:6">
      <c r="A21" s="81" t="s">
        <v>59</v>
      </c>
      <c r="B21" s="82" t="s">
        <v>132</v>
      </c>
      <c r="C21" s="82" t="s">
        <v>165</v>
      </c>
      <c r="D21" s="83">
        <v>1.3746628760438668</v>
      </c>
      <c r="E21" s="83">
        <v>1.37</v>
      </c>
      <c r="F21" s="84">
        <f t="shared" si="0"/>
        <v>4.6628760438667261E-3</v>
      </c>
    </row>
    <row r="22" spans="1:6">
      <c r="A22" s="81" t="s">
        <v>61</v>
      </c>
      <c r="B22" s="82" t="s">
        <v>133</v>
      </c>
      <c r="C22" s="82" t="s">
        <v>166</v>
      </c>
      <c r="D22" s="83">
        <v>0</v>
      </c>
      <c r="E22" s="83">
        <v>0</v>
      </c>
      <c r="F22" s="84">
        <f t="shared" si="0"/>
        <v>0</v>
      </c>
    </row>
    <row r="23" spans="1:6">
      <c r="A23" s="81" t="s">
        <v>65</v>
      </c>
      <c r="B23" s="82" t="s">
        <v>134</v>
      </c>
      <c r="C23" s="82" t="s">
        <v>167</v>
      </c>
      <c r="D23" s="83">
        <v>1.0997303008350936</v>
      </c>
      <c r="E23" s="83">
        <f>_xlfn.XLOOKUP(A23,'Jan–Apr 2026 Summary'!B:B,'Jan–Apr 2026 Summary'!E:E)</f>
        <v>1.0997302774028386</v>
      </c>
      <c r="F23" s="84">
        <f t="shared" si="0"/>
        <v>2.3432255025213067E-8</v>
      </c>
    </row>
    <row r="24" spans="1:6">
      <c r="A24" s="81" t="s">
        <v>63</v>
      </c>
      <c r="B24" s="82" t="s">
        <v>135</v>
      </c>
      <c r="C24" s="82" t="s">
        <v>168</v>
      </c>
      <c r="D24" s="83">
        <v>112755.69484699833</v>
      </c>
      <c r="E24" s="83">
        <f>_xlfn.XLOOKUP(A24,'Jan–Apr 2026 Summary'!B:B,'Jan–Apr 2026 Summary'!E:E)</f>
        <v>112755.69244448183</v>
      </c>
      <c r="F24" s="84">
        <f t="shared" si="0"/>
        <v>2.4025165039347485E-3</v>
      </c>
    </row>
    <row r="25" spans="1:6">
      <c r="A25" s="81" t="s">
        <v>138</v>
      </c>
      <c r="B25" s="82" t="s">
        <v>136</v>
      </c>
      <c r="C25" s="82" t="s">
        <v>169</v>
      </c>
      <c r="D25" s="83">
        <v>148.88286278993101</v>
      </c>
      <c r="E25" s="83">
        <v>148.88</v>
      </c>
      <c r="F25" s="84">
        <f t="shared" si="0"/>
        <v>2.8627899310151861E-3</v>
      </c>
    </row>
    <row r="26" spans="1:6" ht="18" thickBot="1">
      <c r="B26" s="57" t="s">
        <v>106</v>
      </c>
      <c r="C26" s="73"/>
      <c r="D26" s="58">
        <f>SUM(D7:D25)</f>
        <v>171345.15386099476</v>
      </c>
      <c r="E26" s="58">
        <f>SUM(E7:E25)</f>
        <v>171603.36077014249</v>
      </c>
      <c r="F26" s="60">
        <f>SUM(F7:F25)</f>
        <v>-258.20690914771933</v>
      </c>
    </row>
    <row r="27" spans="1:6" ht="18" thickTop="1">
      <c r="B27" s="59" t="s">
        <v>107</v>
      </c>
      <c r="D27" s="60">
        <f>D26*0.06</f>
        <v>10280.709231659685</v>
      </c>
      <c r="E27" s="60">
        <f>E26*0.06</f>
        <v>10296.201646208548</v>
      </c>
      <c r="F27" s="60">
        <f>D27-E27</f>
        <v>-15.492414548863962</v>
      </c>
    </row>
    <row r="29" spans="1:6" ht="18" thickBot="1">
      <c r="B29" s="61" t="s">
        <v>141</v>
      </c>
      <c r="C29" s="61"/>
      <c r="D29" s="62">
        <f>D26+D27</f>
        <v>181625.86309265444</v>
      </c>
      <c r="E29" s="62">
        <f>E26+E27</f>
        <v>181899.56241635105</v>
      </c>
      <c r="F29" s="60">
        <f>D29-E29</f>
        <v>-273.69932369660819</v>
      </c>
    </row>
    <row r="30" spans="1:6" ht="18" thickTop="1">
      <c r="D30" s="74">
        <f>D29*$D$4</f>
        <v>264247867.79040176</v>
      </c>
      <c r="E30" s="74">
        <f>E29*$D$4</f>
        <v>264646073.53858647</v>
      </c>
      <c r="F30" s="60"/>
    </row>
    <row r="32" spans="1:6" ht="18" thickBot="1"/>
    <row r="33" spans="1:23">
      <c r="A33" s="85" t="s">
        <v>174</v>
      </c>
      <c r="B33" s="85" t="s">
        <v>175</v>
      </c>
      <c r="C33" s="85" t="s">
        <v>176</v>
      </c>
      <c r="D33" s="86" t="s">
        <v>177</v>
      </c>
      <c r="E33" s="85" t="s">
        <v>178</v>
      </c>
      <c r="F33" s="85" t="s">
        <v>179</v>
      </c>
      <c r="G33" s="87" t="s">
        <v>180</v>
      </c>
      <c r="H33" s="85" t="s">
        <v>181</v>
      </c>
      <c r="I33" s="85" t="s">
        <v>182</v>
      </c>
      <c r="J33" s="85" t="s">
        <v>183</v>
      </c>
      <c r="K33" s="87" t="s">
        <v>184</v>
      </c>
      <c r="L33" s="85" t="s">
        <v>185</v>
      </c>
      <c r="M33" s="88" t="s">
        <v>186</v>
      </c>
      <c r="N33" s="85" t="s">
        <v>187</v>
      </c>
      <c r="O33" s="87" t="s">
        <v>188</v>
      </c>
      <c r="P33" s="85" t="s">
        <v>189</v>
      </c>
      <c r="Q33" s="85" t="s">
        <v>190</v>
      </c>
      <c r="R33" s="85" t="s">
        <v>191</v>
      </c>
      <c r="S33" s="87" t="s">
        <v>192</v>
      </c>
      <c r="T33" s="85" t="s">
        <v>193</v>
      </c>
      <c r="U33" s="85" t="s">
        <v>194</v>
      </c>
      <c r="V33" s="85" t="s">
        <v>195</v>
      </c>
      <c r="W33" s="87" t="s">
        <v>196</v>
      </c>
    </row>
    <row r="34" spans="1:23" ht="18" thickBot="1">
      <c r="A34" s="89" t="s">
        <v>197</v>
      </c>
      <c r="B34" s="89" t="s">
        <v>198</v>
      </c>
      <c r="C34" s="89" t="s">
        <v>199</v>
      </c>
      <c r="D34" s="90" t="s">
        <v>200</v>
      </c>
      <c r="E34" s="91" t="s">
        <v>200</v>
      </c>
      <c r="F34" s="89" t="s">
        <v>199</v>
      </c>
      <c r="G34" s="91" t="s">
        <v>201</v>
      </c>
      <c r="H34" s="89" t="s">
        <v>202</v>
      </c>
      <c r="I34" s="89" t="s">
        <v>203</v>
      </c>
      <c r="J34" s="89" t="s">
        <v>199</v>
      </c>
      <c r="K34" s="91"/>
      <c r="L34" s="89"/>
      <c r="M34" s="92"/>
      <c r="N34" s="89"/>
      <c r="O34" s="91"/>
      <c r="P34" s="89" t="s">
        <v>204</v>
      </c>
      <c r="Q34" s="89" t="s">
        <v>204</v>
      </c>
      <c r="R34" s="89" t="s">
        <v>202</v>
      </c>
      <c r="S34" s="91" t="s">
        <v>205</v>
      </c>
      <c r="T34" s="89" t="s">
        <v>206</v>
      </c>
      <c r="U34" s="89" t="s">
        <v>207</v>
      </c>
      <c r="V34" s="89" t="s">
        <v>207</v>
      </c>
      <c r="W34" s="91" t="s">
        <v>208</v>
      </c>
    </row>
    <row r="35" spans="1:23">
      <c r="A35" s="99" t="s">
        <v>216</v>
      </c>
      <c r="B35" s="100" t="s">
        <v>209</v>
      </c>
      <c r="C35" s="100" t="s">
        <v>210</v>
      </c>
      <c r="D35" s="101" t="s">
        <v>217</v>
      </c>
      <c r="E35" s="101" t="s">
        <v>217</v>
      </c>
      <c r="F35" s="100" t="s">
        <v>218</v>
      </c>
      <c r="G35" s="100" t="s">
        <v>212</v>
      </c>
      <c r="H35" s="100"/>
      <c r="I35" s="100" t="s">
        <v>213</v>
      </c>
      <c r="J35" s="100">
        <v>50</v>
      </c>
      <c r="K35" s="100">
        <v>25300</v>
      </c>
      <c r="L35" s="100" t="s">
        <v>219</v>
      </c>
      <c r="M35" s="102">
        <v>-226.81937454723803</v>
      </c>
      <c r="N35" s="103">
        <v>-330000</v>
      </c>
      <c r="O35" s="100"/>
      <c r="P35" s="100"/>
      <c r="Q35" s="100"/>
      <c r="R35" s="101" t="s">
        <v>217</v>
      </c>
      <c r="S35" s="100" t="s">
        <v>220</v>
      </c>
      <c r="T35" s="100" t="s">
        <v>221</v>
      </c>
      <c r="U35" s="100" t="s">
        <v>222</v>
      </c>
      <c r="V35" s="100"/>
      <c r="W35" s="104"/>
    </row>
    <row r="36" spans="1:23">
      <c r="A36" s="99" t="s">
        <v>216</v>
      </c>
      <c r="B36" s="100" t="s">
        <v>209</v>
      </c>
      <c r="C36" s="100" t="s">
        <v>210</v>
      </c>
      <c r="D36" s="101" t="s">
        <v>217</v>
      </c>
      <c r="E36" s="101" t="s">
        <v>217</v>
      </c>
      <c r="F36" s="100" t="s">
        <v>218</v>
      </c>
      <c r="G36" s="100" t="s">
        <v>212</v>
      </c>
      <c r="H36" s="100"/>
      <c r="I36" s="100" t="s">
        <v>213</v>
      </c>
      <c r="J36" s="100">
        <v>40</v>
      </c>
      <c r="K36" s="100">
        <v>81300</v>
      </c>
      <c r="L36" s="100" t="s">
        <v>122</v>
      </c>
      <c r="M36" s="102">
        <v>206.19943140658003</v>
      </c>
      <c r="N36" s="103">
        <v>300000</v>
      </c>
      <c r="O36" s="100"/>
      <c r="P36" s="100"/>
      <c r="Q36" s="100"/>
      <c r="R36" s="101" t="s">
        <v>217</v>
      </c>
      <c r="S36" s="100" t="s">
        <v>223</v>
      </c>
      <c r="T36" s="100" t="s">
        <v>221</v>
      </c>
      <c r="U36" s="100" t="s">
        <v>224</v>
      </c>
      <c r="V36" s="100"/>
      <c r="W36" s="104"/>
    </row>
    <row r="37" spans="1:23" s="122" customFormat="1" ht="18" thickBot="1">
      <c r="A37" s="117" t="s">
        <v>216</v>
      </c>
      <c r="B37" s="118" t="s">
        <v>209</v>
      </c>
      <c r="C37" s="118" t="s">
        <v>210</v>
      </c>
      <c r="D37" s="119" t="s">
        <v>217</v>
      </c>
      <c r="E37" s="119" t="s">
        <v>217</v>
      </c>
      <c r="F37" s="118" t="s">
        <v>218</v>
      </c>
      <c r="G37" s="118" t="s">
        <v>212</v>
      </c>
      <c r="H37" s="118"/>
      <c r="I37" s="118" t="s">
        <v>213</v>
      </c>
      <c r="J37" s="118">
        <v>40</v>
      </c>
      <c r="K37" s="118">
        <v>13500</v>
      </c>
      <c r="L37" s="118" t="s">
        <v>225</v>
      </c>
      <c r="M37" s="120">
        <v>20.619943140658002</v>
      </c>
      <c r="N37" s="121">
        <v>30000</v>
      </c>
      <c r="O37" s="118"/>
      <c r="P37" s="118"/>
      <c r="Q37" s="118"/>
      <c r="R37" s="119" t="s">
        <v>217</v>
      </c>
      <c r="S37" s="118" t="s">
        <v>226</v>
      </c>
      <c r="T37" s="118" t="s">
        <v>227</v>
      </c>
      <c r="U37" s="118" t="s">
        <v>224</v>
      </c>
      <c r="V37" s="118"/>
      <c r="W37" s="118"/>
    </row>
    <row r="38" spans="1:23">
      <c r="A38" s="99" t="s">
        <v>228</v>
      </c>
      <c r="B38" s="100" t="s">
        <v>209</v>
      </c>
      <c r="C38" s="100" t="s">
        <v>210</v>
      </c>
      <c r="D38" s="101" t="s">
        <v>229</v>
      </c>
      <c r="E38" s="101" t="s">
        <v>229</v>
      </c>
      <c r="F38" s="100" t="s">
        <v>218</v>
      </c>
      <c r="G38" s="100" t="s">
        <v>212</v>
      </c>
      <c r="H38" s="100"/>
      <c r="I38" s="100" t="s">
        <v>213</v>
      </c>
      <c r="J38" s="100">
        <v>40</v>
      </c>
      <c r="K38" s="100">
        <v>25300</v>
      </c>
      <c r="L38" s="100" t="s">
        <v>219</v>
      </c>
      <c r="M38" s="102">
        <v>-1079.1103576944356</v>
      </c>
      <c r="N38" s="103">
        <v>-1570000</v>
      </c>
      <c r="O38" s="100"/>
      <c r="P38" s="100"/>
      <c r="Q38" s="100"/>
      <c r="R38" s="101" t="s">
        <v>229</v>
      </c>
      <c r="S38" s="100" t="s">
        <v>214</v>
      </c>
      <c r="T38" s="100" t="s">
        <v>242</v>
      </c>
      <c r="U38" s="100" t="s">
        <v>231</v>
      </c>
      <c r="V38" s="104"/>
      <c r="W38" s="104"/>
    </row>
    <row r="39" spans="1:23" s="123" customFormat="1">
      <c r="A39" s="93" t="s">
        <v>228</v>
      </c>
      <c r="B39" s="94" t="s">
        <v>209</v>
      </c>
      <c r="C39" s="94" t="s">
        <v>210</v>
      </c>
      <c r="D39" s="95" t="s">
        <v>229</v>
      </c>
      <c r="E39" s="95" t="s">
        <v>229</v>
      </c>
      <c r="F39" s="94" t="s">
        <v>218</v>
      </c>
      <c r="G39" s="94" t="s">
        <v>212</v>
      </c>
      <c r="H39" s="94"/>
      <c r="I39" s="94" t="s">
        <v>213</v>
      </c>
      <c r="J39" s="94">
        <v>40</v>
      </c>
      <c r="K39" s="94">
        <v>13500</v>
      </c>
      <c r="L39" s="94" t="s">
        <v>225</v>
      </c>
      <c r="M39" s="96">
        <v>98.100754154556498</v>
      </c>
      <c r="N39" s="97">
        <v>142727</v>
      </c>
      <c r="O39" s="94"/>
      <c r="P39" s="94"/>
      <c r="Q39" s="94"/>
      <c r="R39" s="95" t="s">
        <v>229</v>
      </c>
      <c r="S39" s="94" t="s">
        <v>232</v>
      </c>
      <c r="T39" s="94" t="s">
        <v>233</v>
      </c>
      <c r="U39" s="94" t="s">
        <v>234</v>
      </c>
      <c r="V39" s="94"/>
      <c r="W39" s="94"/>
    </row>
    <row r="40" spans="1:23" s="110" customFormat="1" ht="18" thickBot="1">
      <c r="A40" s="105" t="s">
        <v>228</v>
      </c>
      <c r="B40" s="106" t="s">
        <v>209</v>
      </c>
      <c r="C40" s="106" t="s">
        <v>210</v>
      </c>
      <c r="D40" s="107" t="s">
        <v>229</v>
      </c>
      <c r="E40" s="107" t="s">
        <v>229</v>
      </c>
      <c r="F40" s="106" t="s">
        <v>218</v>
      </c>
      <c r="G40" s="106" t="s">
        <v>212</v>
      </c>
      <c r="H40" s="106"/>
      <c r="I40" s="106" t="s">
        <v>213</v>
      </c>
      <c r="J40" s="106">
        <v>50</v>
      </c>
      <c r="K40" s="106">
        <v>81200</v>
      </c>
      <c r="L40" s="106" t="s">
        <v>121</v>
      </c>
      <c r="M40" s="108">
        <v>981.00960353987898</v>
      </c>
      <c r="N40" s="109">
        <v>1427273</v>
      </c>
      <c r="O40" s="106"/>
      <c r="P40" s="106"/>
      <c r="Q40" s="106"/>
      <c r="R40" s="107" t="s">
        <v>229</v>
      </c>
      <c r="S40" s="106" t="s">
        <v>235</v>
      </c>
      <c r="T40" s="106" t="s">
        <v>230</v>
      </c>
      <c r="U40" s="106" t="s">
        <v>234</v>
      </c>
      <c r="V40" s="111"/>
      <c r="W40" s="111"/>
    </row>
    <row r="41" spans="1:23" s="129" customFormat="1">
      <c r="A41" s="124" t="s">
        <v>216</v>
      </c>
      <c r="B41" s="125" t="s">
        <v>209</v>
      </c>
      <c r="C41" s="125" t="s">
        <v>210</v>
      </c>
      <c r="D41" s="126" t="s">
        <v>236</v>
      </c>
      <c r="E41" s="126" t="s">
        <v>236</v>
      </c>
      <c r="F41" s="125" t="s">
        <v>211</v>
      </c>
      <c r="G41" s="125" t="s">
        <v>212</v>
      </c>
      <c r="H41" s="125"/>
      <c r="I41" s="125" t="s">
        <v>213</v>
      </c>
      <c r="J41" s="125">
        <v>50</v>
      </c>
      <c r="K41" s="125">
        <v>25300</v>
      </c>
      <c r="L41" s="125" t="s">
        <v>219</v>
      </c>
      <c r="M41" s="127">
        <v>139.4939153465514</v>
      </c>
      <c r="N41" s="128">
        <v>202950</v>
      </c>
      <c r="O41" s="125"/>
      <c r="P41" s="125"/>
      <c r="Q41" s="125"/>
      <c r="R41" s="126" t="s">
        <v>236</v>
      </c>
      <c r="S41" s="125" t="s">
        <v>238</v>
      </c>
      <c r="T41" s="125" t="s">
        <v>243</v>
      </c>
      <c r="U41" s="125" t="s">
        <v>239</v>
      </c>
      <c r="V41" s="125"/>
      <c r="W41" s="125"/>
    </row>
    <row r="42" spans="1:23" s="110" customFormat="1" ht="18" thickBot="1">
      <c r="A42" s="112" t="s">
        <v>237</v>
      </c>
      <c r="B42" s="113" t="s">
        <v>209</v>
      </c>
      <c r="C42" s="113" t="s">
        <v>210</v>
      </c>
      <c r="D42" s="114" t="s">
        <v>236</v>
      </c>
      <c r="E42" s="114" t="s">
        <v>236</v>
      </c>
      <c r="F42" s="113" t="s">
        <v>211</v>
      </c>
      <c r="G42" s="113" t="s">
        <v>212</v>
      </c>
      <c r="H42" s="113"/>
      <c r="I42" s="113" t="s">
        <v>213</v>
      </c>
      <c r="J42" s="113">
        <v>40</v>
      </c>
      <c r="K42" s="113">
        <v>10302</v>
      </c>
      <c r="L42" s="113" t="s">
        <v>215</v>
      </c>
      <c r="M42" s="115">
        <v>-139.4939153465514</v>
      </c>
      <c r="N42" s="116">
        <v>-202950</v>
      </c>
      <c r="O42" s="113"/>
      <c r="P42" s="113"/>
      <c r="Q42" s="113"/>
      <c r="R42" s="114" t="s">
        <v>236</v>
      </c>
      <c r="S42" s="113" t="s">
        <v>240</v>
      </c>
      <c r="T42" s="130" t="s">
        <v>244</v>
      </c>
      <c r="U42" s="113" t="s">
        <v>241</v>
      </c>
      <c r="V42" s="113"/>
      <c r="W42" s="113"/>
    </row>
    <row r="45" spans="1:23">
      <c r="A45" s="52">
        <v>81300</v>
      </c>
      <c r="B45" s="131">
        <f>-M37</f>
        <v>-20.619943140658002</v>
      </c>
      <c r="C45" s="52" t="s">
        <v>347</v>
      </c>
    </row>
    <row r="46" spans="1:23">
      <c r="A46" s="52">
        <v>81200</v>
      </c>
      <c r="B46" s="131">
        <f>-M39</f>
        <v>-98.100754154556498</v>
      </c>
      <c r="C46" s="52" t="s">
        <v>348</v>
      </c>
    </row>
    <row r="47" spans="1:23">
      <c r="A47" s="52">
        <v>82400</v>
      </c>
      <c r="B47" s="131">
        <f>-M41</f>
        <v>-139.4939153465514</v>
      </c>
      <c r="C47" s="52" t="s">
        <v>349</v>
      </c>
    </row>
    <row r="48" spans="1:23">
      <c r="B48" s="131">
        <f>SUM(B45:B47)</f>
        <v>-258.21461264176594</v>
      </c>
      <c r="C48" s="132" t="s">
        <v>245</v>
      </c>
    </row>
    <row r="49" spans="2:3">
      <c r="B49" s="60">
        <f>B48*0.06</f>
        <v>-15.492876758505956</v>
      </c>
      <c r="C49" s="52" t="s">
        <v>246</v>
      </c>
    </row>
    <row r="50" spans="2:3">
      <c r="B50" s="60">
        <f>B48+B49</f>
        <v>-273.70748940027187</v>
      </c>
      <c r="C50" s="52" t="s">
        <v>247</v>
      </c>
    </row>
    <row r="51" spans="2:3">
      <c r="B51" s="133" t="s">
        <v>248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A9A9-C666-4CC1-94B7-649FA78E1250}">
  <sheetPr>
    <tabColor rgb="FFFFFF00"/>
  </sheetPr>
  <dimension ref="A1:W77"/>
  <sheetViews>
    <sheetView topLeftCell="A63" zoomScale="85" zoomScaleNormal="85" workbookViewId="0">
      <selection activeCell="E86" sqref="E86"/>
    </sheetView>
  </sheetViews>
  <sheetFormatPr defaultColWidth="9.6640625" defaultRowHeight="17.399999999999999"/>
  <cols>
    <col min="1" max="1" width="28.88671875" style="52" customWidth="1"/>
    <col min="2" max="2" width="32.5546875" style="52" bestFit="1" customWidth="1"/>
    <col min="3" max="3" width="32.5546875" style="52" customWidth="1"/>
    <col min="4" max="4" width="20.33203125" style="52" bestFit="1" customWidth="1"/>
    <col min="5" max="5" width="17.44140625" style="52" customWidth="1"/>
    <col min="6" max="6" width="14" style="52" bestFit="1" customWidth="1"/>
    <col min="7" max="7" width="14.33203125" style="52" bestFit="1" customWidth="1"/>
    <col min="8" max="8" width="9.6640625" style="52"/>
    <col min="9" max="9" width="15" style="52" customWidth="1"/>
    <col min="10" max="12" width="9.6640625" style="52"/>
    <col min="13" max="13" width="32.109375" style="52" bestFit="1" customWidth="1"/>
    <col min="14" max="14" width="31.88671875" style="52" bestFit="1" customWidth="1"/>
    <col min="15" max="19" width="9.6640625" style="52"/>
    <col min="20" max="20" width="95.77734375" style="52" bestFit="1" customWidth="1"/>
    <col min="21" max="16384" width="9.6640625" style="52"/>
  </cols>
  <sheetData>
    <row r="1" spans="1:9" ht="19.2">
      <c r="A1" s="51" t="s">
        <v>112</v>
      </c>
    </row>
    <row r="2" spans="1:9" ht="19.2">
      <c r="A2" s="51" t="s">
        <v>113</v>
      </c>
    </row>
    <row r="3" spans="1:9" ht="19.2">
      <c r="A3" s="51" t="s">
        <v>143</v>
      </c>
    </row>
    <row r="4" spans="1:9">
      <c r="D4">
        <v>1448.4907000000001</v>
      </c>
    </row>
    <row r="6" spans="1:9" ht="15" customHeight="1">
      <c r="A6" s="67" t="s">
        <v>115</v>
      </c>
      <c r="B6" s="67" t="s">
        <v>116</v>
      </c>
      <c r="C6" s="67"/>
      <c r="D6" s="68" t="s">
        <v>117</v>
      </c>
      <c r="E6" s="68" t="s">
        <v>148</v>
      </c>
    </row>
    <row r="7" spans="1:9">
      <c r="A7" s="81" t="s">
        <v>33</v>
      </c>
      <c r="B7" s="82" t="s">
        <v>118</v>
      </c>
      <c r="C7" s="82" t="s">
        <v>154</v>
      </c>
      <c r="D7" s="83">
        <v>31766.605180183942</v>
      </c>
      <c r="E7" s="83">
        <f>_xlfn.XLOOKUP(A7,'Jan–Apr 2026 Summary'!B:B,'Jan–Apr 2026 Summary'!G:G)</f>
        <v>31766.605750385555</v>
      </c>
      <c r="F7" s="84">
        <f>D7-E7</f>
        <v>-5.7020161330001429E-4</v>
      </c>
    </row>
    <row r="8" spans="1:9">
      <c r="A8" s="81" t="s">
        <v>150</v>
      </c>
      <c r="B8" s="82" t="s">
        <v>142</v>
      </c>
      <c r="C8" s="82" t="s">
        <v>171</v>
      </c>
      <c r="D8" s="83">
        <v>46874.627349184702</v>
      </c>
      <c r="E8" s="83">
        <v>46874.628190571049</v>
      </c>
      <c r="F8" s="84">
        <f t="shared" ref="F8:F26" si="0">D8-E8</f>
        <v>-8.4138634701957926E-4</v>
      </c>
      <c r="I8" s="60"/>
    </row>
    <row r="9" spans="1:9">
      <c r="A9" s="63" t="s">
        <v>35</v>
      </c>
      <c r="B9" s="55" t="s">
        <v>119</v>
      </c>
      <c r="C9" s="55" t="s">
        <v>155</v>
      </c>
      <c r="D9" s="69">
        <v>3462.460008586901</v>
      </c>
      <c r="E9" s="69">
        <f>_xlfn.XLOOKUP(A9,'Jan–Apr 2026 Summary'!B:B,'Jan–Apr 2026 Summary'!G:G)</f>
        <v>3451.8689005045044</v>
      </c>
      <c r="F9" s="80">
        <f t="shared" si="0"/>
        <v>10.591108082396659</v>
      </c>
    </row>
    <row r="10" spans="1:9">
      <c r="A10" s="63" t="s">
        <v>70</v>
      </c>
      <c r="B10" s="55" t="s">
        <v>120</v>
      </c>
      <c r="C10" s="55" t="s">
        <v>156</v>
      </c>
      <c r="D10" s="69">
        <v>2113.0407983019422</v>
      </c>
      <c r="E10" s="69">
        <f>_xlfn.XLOOKUP(A10,'Jan–Apr 2026 Summary'!B:B,'Jan–Apr 2026 Summary'!G:G)</f>
        <v>2902.020703343142</v>
      </c>
      <c r="F10" s="80">
        <f t="shared" si="0"/>
        <v>-788.9799050411998</v>
      </c>
    </row>
    <row r="11" spans="1:9">
      <c r="A11" s="81" t="s">
        <v>37</v>
      </c>
      <c r="B11" s="82" t="s">
        <v>121</v>
      </c>
      <c r="C11" s="82" t="s">
        <v>39</v>
      </c>
      <c r="D11" s="83">
        <v>0</v>
      </c>
      <c r="E11" s="83">
        <f>_xlfn.XLOOKUP(A11,'Jan–Apr 2026 Summary'!B:B,'Jan–Apr 2026 Summary'!G:G)</f>
        <v>0</v>
      </c>
      <c r="F11" s="84">
        <f t="shared" si="0"/>
        <v>0</v>
      </c>
    </row>
    <row r="12" spans="1:9">
      <c r="A12" s="81" t="s">
        <v>40</v>
      </c>
      <c r="B12" s="82" t="s">
        <v>122</v>
      </c>
      <c r="C12" s="82" t="s">
        <v>157</v>
      </c>
      <c r="D12" s="83">
        <v>0</v>
      </c>
      <c r="E12" s="83">
        <f>_xlfn.XLOOKUP(A12,'Jan–Apr 2026 Summary'!B:B,'Jan–Apr 2026 Summary'!G:G)</f>
        <v>0</v>
      </c>
      <c r="F12" s="84">
        <f t="shared" si="0"/>
        <v>0</v>
      </c>
    </row>
    <row r="13" spans="1:9">
      <c r="A13" s="81" t="s">
        <v>42</v>
      </c>
      <c r="B13" s="82" t="s">
        <v>123</v>
      </c>
      <c r="C13" s="82" t="s">
        <v>44</v>
      </c>
      <c r="D13" s="83">
        <v>152.38965361522099</v>
      </c>
      <c r="E13" s="83">
        <f>_xlfn.XLOOKUP(A13,'Jan–Apr 2026 Summary'!B:B,'Jan–Apr 2026 Summary'!G:G)</f>
        <v>152.38965635057235</v>
      </c>
      <c r="F13" s="84">
        <f t="shared" si="0"/>
        <v>-2.7353513587513589E-6</v>
      </c>
    </row>
    <row r="14" spans="1:9">
      <c r="A14" s="63" t="s">
        <v>45</v>
      </c>
      <c r="B14" s="55" t="s">
        <v>124</v>
      </c>
      <c r="C14" s="55" t="s">
        <v>158</v>
      </c>
      <c r="D14" s="69">
        <v>494.38701066284909</v>
      </c>
      <c r="E14" s="69">
        <f>_xlfn.XLOOKUP(A14,'Jan–Apr 2026 Summary'!B:B,'Jan–Apr 2026 Summary'!G:G)-683.47+298.86</f>
        <v>326.76495049157029</v>
      </c>
      <c r="F14" s="80">
        <f t="shared" si="0"/>
        <v>167.6220601712788</v>
      </c>
    </row>
    <row r="15" spans="1:9">
      <c r="A15" s="172" t="s">
        <v>47</v>
      </c>
      <c r="B15" s="173" t="s">
        <v>125</v>
      </c>
      <c r="C15" s="173" t="s">
        <v>159</v>
      </c>
      <c r="D15" s="174">
        <v>0</v>
      </c>
      <c r="E15" s="174">
        <v>0</v>
      </c>
      <c r="F15" s="175">
        <f t="shared" si="0"/>
        <v>0</v>
      </c>
    </row>
    <row r="16" spans="1:9">
      <c r="A16" s="63" t="s">
        <v>49</v>
      </c>
      <c r="B16" s="55" t="s">
        <v>126</v>
      </c>
      <c r="C16" s="55" t="s">
        <v>160</v>
      </c>
      <c r="D16" s="69">
        <v>7705.2823289891003</v>
      </c>
      <c r="E16" s="69">
        <f>_xlfn.XLOOKUP(A16,'Jan–Apr 2026 Summary'!B:B,'Jan–Apr 2026 Summary'!G:G)</f>
        <v>7681.713110066913</v>
      </c>
      <c r="F16" s="80">
        <f t="shared" si="0"/>
        <v>23.569218922187247</v>
      </c>
    </row>
    <row r="17" spans="1:8">
      <c r="A17" s="81" t="s">
        <v>51</v>
      </c>
      <c r="B17" s="82" t="s">
        <v>127</v>
      </c>
      <c r="C17" s="82" t="s">
        <v>53</v>
      </c>
      <c r="D17" s="83">
        <v>34.455864372582802</v>
      </c>
      <c r="E17" s="83">
        <f>_xlfn.XLOOKUP(A17,'Jan–Apr 2026 Summary'!B:B,'Jan–Apr 2026 Summary'!G:G)</f>
        <v>34.455864991055861</v>
      </c>
      <c r="F17" s="84">
        <f t="shared" si="0"/>
        <v>-6.1847305943274478E-7</v>
      </c>
    </row>
    <row r="18" spans="1:8">
      <c r="A18" s="63" t="s">
        <v>68</v>
      </c>
      <c r="B18" s="55" t="s">
        <v>128</v>
      </c>
      <c r="C18" s="55" t="s">
        <v>161</v>
      </c>
      <c r="D18" s="69">
        <v>359.81745910834729</v>
      </c>
      <c r="E18" s="69">
        <f>_xlfn.XLOOKUP(A18,'Jan–Apr 2026 Summary'!B:B,'Jan–Apr 2026 Summary'!G:G)</f>
        <v>358.71683539286789</v>
      </c>
      <c r="F18" s="80">
        <f t="shared" si="0"/>
        <v>1.1006237154794007</v>
      </c>
    </row>
    <row r="19" spans="1:8">
      <c r="A19" s="81" t="s">
        <v>54</v>
      </c>
      <c r="B19" s="82" t="s">
        <v>129</v>
      </c>
      <c r="C19" s="82" t="s">
        <v>162</v>
      </c>
      <c r="D19" s="83">
        <v>3532.5044946128287</v>
      </c>
      <c r="E19" s="83">
        <f>_xlfn.XLOOKUP(A19,'Jan–Apr 2026 Summary'!B:B,'Jan–Apr 2026 Summary'!G:G)</f>
        <v>3532.5045580202896</v>
      </c>
      <c r="F19" s="84">
        <f t="shared" si="0"/>
        <v>-6.3407460856979014E-5</v>
      </c>
    </row>
    <row r="20" spans="1:8">
      <c r="A20" s="81" t="s">
        <v>137</v>
      </c>
      <c r="B20" s="82" t="s">
        <v>130</v>
      </c>
      <c r="C20" s="82" t="s">
        <v>163</v>
      </c>
      <c r="D20" s="83">
        <v>683.47003003179736</v>
      </c>
      <c r="E20" s="83">
        <v>683.47</v>
      </c>
      <c r="F20" s="84">
        <f t="shared" si="0"/>
        <v>3.0031797336960153E-5</v>
      </c>
    </row>
    <row r="21" spans="1:8">
      <c r="A21" s="81" t="s">
        <v>56</v>
      </c>
      <c r="B21" s="82" t="s">
        <v>131</v>
      </c>
      <c r="C21" s="82" t="s">
        <v>164</v>
      </c>
      <c r="D21" s="83">
        <v>361.88771566908878</v>
      </c>
      <c r="E21" s="83">
        <f>_xlfn.XLOOKUP(A21,'Jan–Apr 2026 Summary'!B:B,'Jan–Apr 2026 Summary'!G:G)</f>
        <v>361.88772216487132</v>
      </c>
      <c r="F21" s="84">
        <f t="shared" si="0"/>
        <v>-6.4957825429701188E-6</v>
      </c>
    </row>
    <row r="22" spans="1:8">
      <c r="A22" s="81" t="s">
        <v>59</v>
      </c>
      <c r="B22" s="82" t="s">
        <v>132</v>
      </c>
      <c r="C22" s="82" t="s">
        <v>165</v>
      </c>
      <c r="D22" s="83">
        <v>109.88679260622342</v>
      </c>
      <c r="E22" s="83">
        <f>_xlfn.XLOOKUP(A22,'Jan–Apr 2026 Summary'!B:B,'Jan–Apr 2026 Summary'!G:G)</f>
        <v>109.88679457866039</v>
      </c>
      <c r="F22" s="84">
        <f t="shared" si="0"/>
        <v>-1.9724369622053928E-6</v>
      </c>
    </row>
    <row r="23" spans="1:8">
      <c r="A23" s="81" t="s">
        <v>61</v>
      </c>
      <c r="B23" s="82" t="s">
        <v>133</v>
      </c>
      <c r="C23" s="82" t="s">
        <v>166</v>
      </c>
      <c r="D23" s="83">
        <v>7799.5611550777712</v>
      </c>
      <c r="E23" s="83">
        <f>_xlfn.XLOOKUP(A23,'Jan–Apr 2026 Summary'!B:B,'Jan–Apr 2026 Summary'!G:G)</f>
        <v>7799.5612950776967</v>
      </c>
      <c r="F23" s="84">
        <f t="shared" si="0"/>
        <v>-1.3999992552271578E-4</v>
      </c>
    </row>
    <row r="24" spans="1:8">
      <c r="A24" s="81" t="s">
        <v>65</v>
      </c>
      <c r="B24" s="82" t="s">
        <v>134</v>
      </c>
      <c r="C24" s="82" t="s">
        <v>167</v>
      </c>
      <c r="D24" s="83">
        <v>2.4706898883159054</v>
      </c>
      <c r="E24" s="83">
        <f>_xlfn.XLOOKUP(A24,'Jan–Apr 2026 Summary'!B:B,'Jan–Apr 2026 Summary'!G:G)</f>
        <v>2.485345608363243</v>
      </c>
      <c r="F24" s="84">
        <f t="shared" si="0"/>
        <v>-1.4655720047337617E-2</v>
      </c>
      <c r="G24" s="70"/>
      <c r="H24" s="60"/>
    </row>
    <row r="25" spans="1:8">
      <c r="A25" s="81" t="s">
        <v>63</v>
      </c>
      <c r="B25" s="82" t="s">
        <v>135</v>
      </c>
      <c r="C25" s="82" t="s">
        <v>168</v>
      </c>
      <c r="D25" s="83">
        <v>68528.236472809833</v>
      </c>
      <c r="E25" s="83">
        <f>_xlfn.XLOOKUP(A25,'Jan–Apr 2026 Summary'!B:B,'Jan–Apr 2026 Summary'!G:G)</f>
        <v>68528.237702872371</v>
      </c>
      <c r="F25" s="84">
        <f t="shared" si="0"/>
        <v>-1.2300625385250896E-3</v>
      </c>
    </row>
    <row r="26" spans="1:8">
      <c r="A26" s="81" t="s">
        <v>138</v>
      </c>
      <c r="B26" s="82" t="s">
        <v>136</v>
      </c>
      <c r="C26" s="82" t="s">
        <v>169</v>
      </c>
      <c r="D26" s="83">
        <v>27.614950708355451</v>
      </c>
      <c r="E26" s="83">
        <v>27.614951204036036</v>
      </c>
      <c r="F26" s="84">
        <f t="shared" si="0"/>
        <v>-4.9568058457793995E-7</v>
      </c>
    </row>
    <row r="27" spans="1:8">
      <c r="A27" s="71"/>
      <c r="B27" s="66" t="s">
        <v>106</v>
      </c>
      <c r="C27" s="66"/>
      <c r="D27" s="65">
        <f>SUM(D7:D26)</f>
        <v>174008.69795440976</v>
      </c>
      <c r="E27" s="65">
        <f>SUM(E7:E26)</f>
        <v>174594.81233162351</v>
      </c>
      <c r="F27" s="60">
        <f>SUM(F7:F26)</f>
        <v>-586.11437721371749</v>
      </c>
      <c r="G27" s="60"/>
    </row>
    <row r="28" spans="1:8">
      <c r="A28" s="71"/>
      <c r="B28" s="71" t="s">
        <v>107</v>
      </c>
      <c r="C28" s="71"/>
      <c r="D28" s="72">
        <f>D27*0.06</f>
        <v>10440.521877264586</v>
      </c>
      <c r="E28" s="72">
        <f>E27*0.06</f>
        <v>10475.68873989741</v>
      </c>
      <c r="F28" s="60">
        <f>D28-E28</f>
        <v>-35.166862632824632</v>
      </c>
    </row>
    <row r="30" spans="1:8" ht="18" thickBot="1">
      <c r="B30" s="61" t="s">
        <v>110</v>
      </c>
      <c r="C30" s="61"/>
      <c r="D30" s="62">
        <f>D27+D28</f>
        <v>184449.21983167433</v>
      </c>
      <c r="E30" s="62">
        <f>E27+E28</f>
        <v>185070.50107152094</v>
      </c>
      <c r="F30" s="60">
        <f>D30-E30</f>
        <v>-621.28123984660488</v>
      </c>
    </row>
    <row r="31" spans="1:8" ht="18" thickTop="1">
      <c r="D31" s="74">
        <f>$D$4*D30</f>
        <v>267172979.54843584</v>
      </c>
      <c r="E31" s="74">
        <f>$D$4*E30</f>
        <v>268072899.64643812</v>
      </c>
    </row>
    <row r="32" spans="1:8" ht="18" thickBot="1">
      <c r="D32" s="74"/>
      <c r="E32" s="74"/>
    </row>
    <row r="33" spans="1:23">
      <c r="A33" s="85" t="s">
        <v>174</v>
      </c>
      <c r="B33" s="85" t="s">
        <v>175</v>
      </c>
      <c r="C33" s="85" t="s">
        <v>176</v>
      </c>
      <c r="D33" s="86" t="s">
        <v>177</v>
      </c>
      <c r="E33" s="85" t="s">
        <v>178</v>
      </c>
      <c r="F33" s="85" t="s">
        <v>179</v>
      </c>
      <c r="G33" s="87" t="s">
        <v>180</v>
      </c>
      <c r="H33" s="85" t="s">
        <v>181</v>
      </c>
      <c r="I33" s="85" t="s">
        <v>182</v>
      </c>
      <c r="J33" s="85" t="s">
        <v>183</v>
      </c>
      <c r="K33" s="87" t="s">
        <v>184</v>
      </c>
      <c r="L33" s="85" t="s">
        <v>185</v>
      </c>
      <c r="M33" s="88" t="s">
        <v>186</v>
      </c>
      <c r="N33" s="85" t="s">
        <v>187</v>
      </c>
      <c r="O33" s="87" t="s">
        <v>188</v>
      </c>
      <c r="P33" s="85" t="s">
        <v>189</v>
      </c>
      <c r="Q33" s="85" t="s">
        <v>190</v>
      </c>
      <c r="R33" s="85" t="s">
        <v>191</v>
      </c>
      <c r="S33" s="87" t="s">
        <v>192</v>
      </c>
      <c r="T33" s="85" t="s">
        <v>193</v>
      </c>
      <c r="U33" s="85" t="s">
        <v>194</v>
      </c>
      <c r="V33" s="85" t="s">
        <v>195</v>
      </c>
      <c r="W33" s="87" t="s">
        <v>196</v>
      </c>
    </row>
    <row r="34" spans="1:23" ht="18" thickBot="1">
      <c r="A34" s="89" t="s">
        <v>197</v>
      </c>
      <c r="B34" s="89" t="s">
        <v>198</v>
      </c>
      <c r="C34" s="89" t="s">
        <v>199</v>
      </c>
      <c r="D34" s="90" t="s">
        <v>200</v>
      </c>
      <c r="E34" s="91" t="s">
        <v>200</v>
      </c>
      <c r="F34" s="89" t="s">
        <v>199</v>
      </c>
      <c r="G34" s="91" t="s">
        <v>201</v>
      </c>
      <c r="H34" s="89" t="s">
        <v>202</v>
      </c>
      <c r="I34" s="89" t="s">
        <v>203</v>
      </c>
      <c r="J34" s="89" t="s">
        <v>199</v>
      </c>
      <c r="K34" s="91"/>
      <c r="L34" s="89"/>
      <c r="M34" s="92"/>
      <c r="N34" s="89"/>
      <c r="O34" s="91"/>
      <c r="P34" s="89" t="s">
        <v>204</v>
      </c>
      <c r="Q34" s="89" t="s">
        <v>204</v>
      </c>
      <c r="R34" s="89" t="s">
        <v>202</v>
      </c>
      <c r="S34" s="91" t="s">
        <v>205</v>
      </c>
      <c r="T34" s="89" t="s">
        <v>206</v>
      </c>
      <c r="U34" s="89" t="s">
        <v>207</v>
      </c>
      <c r="V34" s="89" t="s">
        <v>207</v>
      </c>
      <c r="W34" s="91" t="s">
        <v>208</v>
      </c>
    </row>
    <row r="35" spans="1:23">
      <c r="A35" s="189">
        <v>1</v>
      </c>
      <c r="B35" s="134" t="s">
        <v>209</v>
      </c>
      <c r="C35" s="134" t="s">
        <v>210</v>
      </c>
      <c r="D35" s="135" t="s">
        <v>249</v>
      </c>
      <c r="E35" s="134" t="s">
        <v>249</v>
      </c>
      <c r="F35" s="134"/>
      <c r="G35" s="134" t="s">
        <v>250</v>
      </c>
      <c r="H35" s="134"/>
      <c r="I35" s="134" t="s">
        <v>213</v>
      </c>
      <c r="J35" s="134"/>
      <c r="K35" s="134">
        <v>10303</v>
      </c>
      <c r="L35" s="134" t="s">
        <v>251</v>
      </c>
      <c r="M35" s="136">
        <v>-2438.756839647474</v>
      </c>
      <c r="N35" s="137">
        <v>-3558700</v>
      </c>
      <c r="O35" s="134"/>
      <c r="P35" s="134"/>
      <c r="Q35" s="134"/>
      <c r="R35" s="135" t="s">
        <v>249</v>
      </c>
      <c r="S35" s="134"/>
      <c r="T35" s="134" t="s">
        <v>253</v>
      </c>
      <c r="U35" s="134" t="s">
        <v>254</v>
      </c>
      <c r="V35" s="138"/>
      <c r="W35" s="138"/>
    </row>
    <row r="36" spans="1:23">
      <c r="A36" s="190"/>
      <c r="B36" s="139" t="s">
        <v>209</v>
      </c>
      <c r="C36" s="139" t="s">
        <v>210</v>
      </c>
      <c r="D36" s="140" t="s">
        <v>249</v>
      </c>
      <c r="E36" s="139" t="s">
        <v>249</v>
      </c>
      <c r="F36" s="139"/>
      <c r="G36" s="139" t="s">
        <v>250</v>
      </c>
      <c r="H36" s="139"/>
      <c r="I36" s="139" t="s">
        <v>213</v>
      </c>
      <c r="J36" s="139"/>
      <c r="K36" s="139">
        <v>25400</v>
      </c>
      <c r="L36" s="139" t="s">
        <v>252</v>
      </c>
      <c r="M36" s="141">
        <v>1080.9730258914749</v>
      </c>
      <c r="N36" s="142">
        <v>1572710</v>
      </c>
      <c r="O36" s="139"/>
      <c r="P36" s="139"/>
      <c r="Q36" s="139"/>
      <c r="R36" s="140" t="s">
        <v>249</v>
      </c>
      <c r="S36" s="139"/>
      <c r="T36" s="139" t="s">
        <v>255</v>
      </c>
      <c r="U36" s="139" t="s">
        <v>254</v>
      </c>
      <c r="V36" s="143"/>
      <c r="W36" s="143"/>
    </row>
    <row r="37" spans="1:23">
      <c r="A37" s="190"/>
      <c r="B37" s="100" t="s">
        <v>209</v>
      </c>
      <c r="C37" s="100" t="s">
        <v>210</v>
      </c>
      <c r="D37" s="140" t="s">
        <v>249</v>
      </c>
      <c r="E37" s="100" t="s">
        <v>249</v>
      </c>
      <c r="F37" s="100"/>
      <c r="G37" s="100" t="s">
        <v>250</v>
      </c>
      <c r="H37" s="100"/>
      <c r="I37" s="100" t="s">
        <v>213</v>
      </c>
      <c r="J37" s="100"/>
      <c r="K37" s="100">
        <v>81101</v>
      </c>
      <c r="L37" s="100" t="s">
        <v>256</v>
      </c>
      <c r="M37" s="141">
        <v>1085.75772821344</v>
      </c>
      <c r="N37" s="142">
        <v>1572710</v>
      </c>
      <c r="O37" s="100"/>
      <c r="P37" s="100"/>
      <c r="Q37" s="100"/>
      <c r="R37" s="140" t="s">
        <v>249</v>
      </c>
      <c r="S37" s="100"/>
      <c r="T37" s="100" t="s">
        <v>257</v>
      </c>
      <c r="U37" s="100" t="s">
        <v>254</v>
      </c>
      <c r="V37" s="143"/>
      <c r="W37" s="143"/>
    </row>
    <row r="38" spans="1:23">
      <c r="A38" s="190"/>
      <c r="B38" s="100" t="s">
        <v>209</v>
      </c>
      <c r="C38" s="100" t="s">
        <v>210</v>
      </c>
      <c r="D38" s="140" t="s">
        <v>249</v>
      </c>
      <c r="E38" s="100" t="s">
        <v>249</v>
      </c>
      <c r="F38" s="100"/>
      <c r="G38" s="100" t="s">
        <v>250</v>
      </c>
      <c r="H38" s="100"/>
      <c r="I38" s="100" t="s">
        <v>213</v>
      </c>
      <c r="J38" s="100"/>
      <c r="K38" s="100">
        <v>25400</v>
      </c>
      <c r="L38" s="100" t="s">
        <v>252</v>
      </c>
      <c r="M38" s="141">
        <v>142.03016835285231</v>
      </c>
      <c r="N38" s="142">
        <v>206640</v>
      </c>
      <c r="O38" s="100"/>
      <c r="P38" s="100"/>
      <c r="Q38" s="100"/>
      <c r="R38" s="140" t="s">
        <v>249</v>
      </c>
      <c r="S38" s="100"/>
      <c r="T38" s="100" t="s">
        <v>258</v>
      </c>
      <c r="U38" s="100" t="s">
        <v>254</v>
      </c>
      <c r="V38" s="144"/>
      <c r="W38" s="144"/>
    </row>
    <row r="39" spans="1:23">
      <c r="A39" s="190"/>
      <c r="B39" s="100" t="s">
        <v>209</v>
      </c>
      <c r="C39" s="100" t="s">
        <v>210</v>
      </c>
      <c r="D39" s="140" t="s">
        <v>249</v>
      </c>
      <c r="E39" s="100" t="s">
        <v>249</v>
      </c>
      <c r="F39" s="100"/>
      <c r="G39" s="100" t="s">
        <v>250</v>
      </c>
      <c r="H39" s="100"/>
      <c r="I39" s="100" t="s">
        <v>213</v>
      </c>
      <c r="J39" s="100"/>
      <c r="K39" s="100">
        <v>81101</v>
      </c>
      <c r="L39" s="100" t="s">
        <v>256</v>
      </c>
      <c r="M39" s="141">
        <v>142.65883535936425</v>
      </c>
      <c r="N39" s="142">
        <v>206640</v>
      </c>
      <c r="O39" s="100"/>
      <c r="P39" s="100"/>
      <c r="Q39" s="100"/>
      <c r="R39" s="140" t="s">
        <v>249</v>
      </c>
      <c r="S39" s="100"/>
      <c r="T39" s="100" t="s">
        <v>259</v>
      </c>
      <c r="U39" s="100" t="s">
        <v>254</v>
      </c>
      <c r="V39" s="143"/>
      <c r="W39" s="143"/>
    </row>
    <row r="40" spans="1:23">
      <c r="A40" s="190"/>
      <c r="B40" s="100" t="s">
        <v>209</v>
      </c>
      <c r="C40" s="100" t="s">
        <v>210</v>
      </c>
      <c r="D40" s="140" t="s">
        <v>249</v>
      </c>
      <c r="E40" s="100" t="s">
        <v>249</v>
      </c>
      <c r="F40" s="100"/>
      <c r="G40" s="100" t="s">
        <v>250</v>
      </c>
      <c r="H40" s="100"/>
      <c r="I40" s="100" t="s">
        <v>213</v>
      </c>
      <c r="J40" s="100"/>
      <c r="K40" s="100">
        <v>83900</v>
      </c>
      <c r="L40" s="100" t="s">
        <v>260</v>
      </c>
      <c r="M40" s="141">
        <v>-12.662918169660031</v>
      </c>
      <c r="N40" s="142">
        <v>-12.662918169660031</v>
      </c>
      <c r="O40" s="100"/>
      <c r="P40" s="100"/>
      <c r="Q40" s="100"/>
      <c r="R40" s="140" t="s">
        <v>249</v>
      </c>
      <c r="S40" s="100"/>
      <c r="T40" s="100" t="s">
        <v>261</v>
      </c>
      <c r="U40" s="100" t="s">
        <v>254</v>
      </c>
      <c r="V40" s="144"/>
      <c r="W40" s="144"/>
    </row>
    <row r="41" spans="1:23">
      <c r="A41" s="190"/>
      <c r="B41" s="100" t="s">
        <v>209</v>
      </c>
      <c r="C41" s="100" t="s">
        <v>210</v>
      </c>
      <c r="D41" s="140" t="s">
        <v>249</v>
      </c>
      <c r="E41" s="100" t="s">
        <v>249</v>
      </c>
      <c r="F41" s="100"/>
      <c r="G41" s="100" t="s">
        <v>250</v>
      </c>
      <c r="H41" s="100"/>
      <c r="I41" s="100" t="s">
        <v>213</v>
      </c>
      <c r="J41" s="100"/>
      <c r="K41" s="100">
        <v>10303</v>
      </c>
      <c r="L41" s="100" t="s">
        <v>251</v>
      </c>
      <c r="M41" s="141">
        <v>-1566.3497788823574</v>
      </c>
      <c r="N41" s="142">
        <v>-2285660</v>
      </c>
      <c r="O41" s="100"/>
      <c r="P41" s="100"/>
      <c r="Q41" s="100"/>
      <c r="R41" s="140" t="s">
        <v>249</v>
      </c>
      <c r="S41" s="100"/>
      <c r="T41" s="100" t="s">
        <v>262</v>
      </c>
      <c r="U41" s="100" t="s">
        <v>263</v>
      </c>
      <c r="V41" s="144"/>
      <c r="W41" s="144"/>
    </row>
    <row r="42" spans="1:23">
      <c r="A42" s="190"/>
      <c r="B42" s="100" t="s">
        <v>209</v>
      </c>
      <c r="C42" s="100" t="s">
        <v>210</v>
      </c>
      <c r="D42" s="140" t="s">
        <v>249</v>
      </c>
      <c r="E42" s="100" t="s">
        <v>249</v>
      </c>
      <c r="F42" s="100"/>
      <c r="G42" s="100" t="s">
        <v>250</v>
      </c>
      <c r="H42" s="100"/>
      <c r="I42" s="100" t="s">
        <v>213</v>
      </c>
      <c r="J42" s="100"/>
      <c r="K42" s="100">
        <v>25400</v>
      </c>
      <c r="L42" s="100" t="s">
        <v>252</v>
      </c>
      <c r="M42" s="141">
        <v>785.50298731460623</v>
      </c>
      <c r="N42" s="142">
        <v>1142830</v>
      </c>
      <c r="O42" s="100"/>
      <c r="P42" s="100"/>
      <c r="Q42" s="100"/>
      <c r="R42" s="140" t="s">
        <v>249</v>
      </c>
      <c r="S42" s="100"/>
      <c r="T42" s="100" t="s">
        <v>264</v>
      </c>
      <c r="U42" s="100" t="s">
        <v>263</v>
      </c>
      <c r="V42" s="144"/>
      <c r="W42" s="144"/>
    </row>
    <row r="43" spans="1:23">
      <c r="A43" s="190"/>
      <c r="B43" s="100" t="s">
        <v>209</v>
      </c>
      <c r="C43" s="100" t="s">
        <v>210</v>
      </c>
      <c r="D43" s="140" t="s">
        <v>249</v>
      </c>
      <c r="E43" s="100" t="s">
        <v>249</v>
      </c>
      <c r="F43" s="100"/>
      <c r="G43" s="100" t="s">
        <v>250</v>
      </c>
      <c r="H43" s="100"/>
      <c r="I43" s="100" t="s">
        <v>213</v>
      </c>
      <c r="J43" s="100"/>
      <c r="K43" s="100">
        <v>81101</v>
      </c>
      <c r="L43" s="100" t="s">
        <v>256</v>
      </c>
      <c r="M43" s="141">
        <v>788.97985295074648</v>
      </c>
      <c r="N43" s="142">
        <v>1142830</v>
      </c>
      <c r="O43" s="100"/>
      <c r="P43" s="100"/>
      <c r="Q43" s="100"/>
      <c r="R43" s="140" t="s">
        <v>249</v>
      </c>
      <c r="S43" s="100"/>
      <c r="T43" s="100" t="s">
        <v>264</v>
      </c>
      <c r="U43" s="100" t="s">
        <v>263</v>
      </c>
      <c r="V43" s="143"/>
      <c r="W43" s="143"/>
    </row>
    <row r="44" spans="1:23">
      <c r="A44" s="190"/>
      <c r="B44" s="100" t="s">
        <v>209</v>
      </c>
      <c r="C44" s="100" t="s">
        <v>210</v>
      </c>
      <c r="D44" s="140" t="s">
        <v>249</v>
      </c>
      <c r="E44" s="100" t="s">
        <v>249</v>
      </c>
      <c r="F44" s="100"/>
      <c r="G44" s="100" t="s">
        <v>250</v>
      </c>
      <c r="H44" s="100"/>
      <c r="I44" s="100" t="s">
        <v>213</v>
      </c>
      <c r="J44" s="100"/>
      <c r="K44" s="100">
        <v>83900</v>
      </c>
      <c r="L44" s="100" t="s">
        <v>260</v>
      </c>
      <c r="M44" s="141">
        <v>-8.1330613829952654</v>
      </c>
      <c r="N44" s="142">
        <v>-8.1330613829952707</v>
      </c>
      <c r="O44" s="100"/>
      <c r="P44" s="100"/>
      <c r="Q44" s="100"/>
      <c r="R44" s="140" t="s">
        <v>249</v>
      </c>
      <c r="S44" s="100"/>
      <c r="T44" s="100" t="s">
        <v>261</v>
      </c>
      <c r="U44" s="100" t="s">
        <v>263</v>
      </c>
      <c r="V44" s="144"/>
      <c r="W44" s="144"/>
    </row>
    <row r="45" spans="1:23">
      <c r="A45" s="190"/>
      <c r="B45" s="100" t="s">
        <v>209</v>
      </c>
      <c r="C45" s="100" t="s">
        <v>210</v>
      </c>
      <c r="D45" s="140" t="s">
        <v>249</v>
      </c>
      <c r="E45" s="100" t="s">
        <v>249</v>
      </c>
      <c r="F45" s="100"/>
      <c r="G45" s="100" t="s">
        <v>250</v>
      </c>
      <c r="H45" s="100"/>
      <c r="I45" s="100" t="s">
        <v>213</v>
      </c>
      <c r="J45" s="100"/>
      <c r="K45" s="100">
        <v>10303</v>
      </c>
      <c r="L45" s="100" t="s">
        <v>251</v>
      </c>
      <c r="M45" s="141">
        <v>-614.55137299875378</v>
      </c>
      <c r="N45" s="142">
        <v>-896770</v>
      </c>
      <c r="O45" s="100"/>
      <c r="P45" s="100"/>
      <c r="Q45" s="100"/>
      <c r="R45" s="140" t="s">
        <v>249</v>
      </c>
      <c r="S45" s="100"/>
      <c r="T45" s="100" t="s">
        <v>265</v>
      </c>
      <c r="U45" s="100" t="s">
        <v>266</v>
      </c>
      <c r="V45" s="144"/>
      <c r="W45" s="144"/>
    </row>
    <row r="46" spans="1:23">
      <c r="A46" s="190"/>
      <c r="B46" s="100" t="s">
        <v>209</v>
      </c>
      <c r="C46" s="100" t="s">
        <v>210</v>
      </c>
      <c r="D46" s="140" t="s">
        <v>249</v>
      </c>
      <c r="E46" s="100" t="s">
        <v>249</v>
      </c>
      <c r="F46" s="100"/>
      <c r="G46" s="100" t="s">
        <v>250</v>
      </c>
      <c r="H46" s="100"/>
      <c r="I46" s="100" t="s">
        <v>213</v>
      </c>
      <c r="J46" s="100"/>
      <c r="K46" s="100">
        <v>25400</v>
      </c>
      <c r="L46" s="100" t="s">
        <v>252</v>
      </c>
      <c r="M46" s="141">
        <v>270.60926046361544</v>
      </c>
      <c r="N46" s="142">
        <v>393710</v>
      </c>
      <c r="O46" s="100"/>
      <c r="P46" s="100"/>
      <c r="Q46" s="100"/>
      <c r="R46" s="140" t="s">
        <v>249</v>
      </c>
      <c r="S46" s="100"/>
      <c r="T46" s="100" t="s">
        <v>267</v>
      </c>
      <c r="U46" s="100" t="s">
        <v>266</v>
      </c>
      <c r="V46" s="144"/>
      <c r="W46" s="144"/>
    </row>
    <row r="47" spans="1:23">
      <c r="A47" s="190"/>
      <c r="B47" s="100" t="s">
        <v>209</v>
      </c>
      <c r="C47" s="100" t="s">
        <v>210</v>
      </c>
      <c r="D47" s="140" t="s">
        <v>249</v>
      </c>
      <c r="E47" s="100" t="s">
        <v>249</v>
      </c>
      <c r="F47" s="100"/>
      <c r="G47" s="100" t="s">
        <v>250</v>
      </c>
      <c r="H47" s="100"/>
      <c r="I47" s="100" t="s">
        <v>213</v>
      </c>
      <c r="J47" s="100"/>
      <c r="K47" s="100">
        <v>81101</v>
      </c>
      <c r="L47" s="100" t="s">
        <v>256</v>
      </c>
      <c r="M47" s="141">
        <v>347.29942758363234</v>
      </c>
      <c r="N47" s="142">
        <v>503060</v>
      </c>
      <c r="O47" s="100"/>
      <c r="P47" s="100"/>
      <c r="Q47" s="100"/>
      <c r="R47" s="140" t="s">
        <v>249</v>
      </c>
      <c r="S47" s="100"/>
      <c r="T47" s="100" t="s">
        <v>267</v>
      </c>
      <c r="U47" s="100" t="s">
        <v>266</v>
      </c>
      <c r="V47" s="143"/>
      <c r="W47" s="143"/>
    </row>
    <row r="48" spans="1:23">
      <c r="A48" s="190"/>
      <c r="B48" s="100" t="s">
        <v>209</v>
      </c>
      <c r="C48" s="100" t="s">
        <v>210</v>
      </c>
      <c r="D48" s="140" t="s">
        <v>249</v>
      </c>
      <c r="E48" s="100" t="s">
        <v>249</v>
      </c>
      <c r="F48" s="100"/>
      <c r="G48" s="100" t="s">
        <v>250</v>
      </c>
      <c r="H48" s="100"/>
      <c r="I48" s="100" t="s">
        <v>213</v>
      </c>
      <c r="J48" s="100"/>
      <c r="K48" s="100">
        <v>83900</v>
      </c>
      <c r="L48" s="100" t="s">
        <v>260</v>
      </c>
      <c r="M48" s="141">
        <v>-3.3573150484940015</v>
      </c>
      <c r="N48" s="142">
        <v>-3.3573150484940015</v>
      </c>
      <c r="O48" s="100"/>
      <c r="P48" s="100"/>
      <c r="Q48" s="100"/>
      <c r="R48" s="140" t="s">
        <v>249</v>
      </c>
      <c r="S48" s="100"/>
      <c r="T48" s="100" t="s">
        <v>261</v>
      </c>
      <c r="U48" s="100" t="s">
        <v>266</v>
      </c>
      <c r="V48" s="144"/>
      <c r="W48" s="144"/>
    </row>
    <row r="49" spans="1:23">
      <c r="A49" s="190"/>
      <c r="B49" s="100" t="s">
        <v>209</v>
      </c>
      <c r="C49" s="100" t="s">
        <v>210</v>
      </c>
      <c r="D49" s="140" t="s">
        <v>249</v>
      </c>
      <c r="E49" s="100" t="s">
        <v>249</v>
      </c>
      <c r="F49" s="100"/>
      <c r="G49" s="100" t="s">
        <v>250</v>
      </c>
      <c r="H49" s="100"/>
      <c r="I49" s="100" t="s">
        <v>213</v>
      </c>
      <c r="J49" s="100"/>
      <c r="K49" s="100">
        <v>10303</v>
      </c>
      <c r="L49" s="100" t="s">
        <v>251</v>
      </c>
      <c r="M49" s="141">
        <v>-537.32480714550331</v>
      </c>
      <c r="N49" s="142">
        <v>-778310</v>
      </c>
      <c r="O49" s="100"/>
      <c r="P49" s="100"/>
      <c r="Q49" s="100"/>
      <c r="R49" s="140" t="s">
        <v>249</v>
      </c>
      <c r="S49" s="100"/>
      <c r="T49" s="100" t="s">
        <v>268</v>
      </c>
      <c r="U49" s="100" t="s">
        <v>269</v>
      </c>
      <c r="V49" s="144"/>
      <c r="W49" s="144"/>
    </row>
    <row r="50" spans="1:23" ht="18" thickBot="1">
      <c r="A50" s="191"/>
      <c r="B50" s="106" t="s">
        <v>209</v>
      </c>
      <c r="C50" s="106" t="s">
        <v>210</v>
      </c>
      <c r="D50" s="145" t="s">
        <v>249</v>
      </c>
      <c r="E50" s="106" t="s">
        <v>249</v>
      </c>
      <c r="F50" s="106"/>
      <c r="G50" s="106" t="s">
        <v>250</v>
      </c>
      <c r="H50" s="106"/>
      <c r="I50" s="106" t="s">
        <v>213</v>
      </c>
      <c r="J50" s="106"/>
      <c r="K50" s="106">
        <v>81101</v>
      </c>
      <c r="L50" s="106" t="s">
        <v>256</v>
      </c>
      <c r="M50" s="108">
        <v>537.32480714550331</v>
      </c>
      <c r="N50" s="146">
        <v>778310</v>
      </c>
      <c r="O50" s="106"/>
      <c r="P50" s="106"/>
      <c r="Q50" s="106"/>
      <c r="R50" s="145" t="s">
        <v>249</v>
      </c>
      <c r="S50" s="106"/>
      <c r="T50" s="106" t="s">
        <v>270</v>
      </c>
      <c r="U50" s="106" t="s">
        <v>269</v>
      </c>
      <c r="V50" s="147"/>
      <c r="W50" s="147"/>
    </row>
    <row r="51" spans="1:23">
      <c r="A51" s="192">
        <v>2</v>
      </c>
      <c r="B51" s="151" t="s">
        <v>209</v>
      </c>
      <c r="C51" s="151" t="s">
        <v>210</v>
      </c>
      <c r="D51" s="152" t="s">
        <v>271</v>
      </c>
      <c r="E51" s="151" t="s">
        <v>271</v>
      </c>
      <c r="F51" s="151" t="s">
        <v>272</v>
      </c>
      <c r="G51" s="151" t="s">
        <v>250</v>
      </c>
      <c r="H51" s="151"/>
      <c r="I51" s="151" t="s">
        <v>213</v>
      </c>
      <c r="J51" s="151">
        <v>40</v>
      </c>
      <c r="K51" s="151">
        <v>13300</v>
      </c>
      <c r="L51" s="151" t="s">
        <v>273</v>
      </c>
      <c r="M51" s="153">
        <v>-3462.460008586901</v>
      </c>
      <c r="N51" s="154">
        <v>-5000000</v>
      </c>
      <c r="O51" s="151"/>
      <c r="P51" s="151"/>
      <c r="Q51" s="151"/>
      <c r="R51" s="151" t="s">
        <v>274</v>
      </c>
      <c r="S51" s="151" t="s">
        <v>275</v>
      </c>
      <c r="T51" s="151" t="s">
        <v>276</v>
      </c>
      <c r="U51" s="151" t="s">
        <v>277</v>
      </c>
      <c r="V51" s="155"/>
      <c r="W51" s="155"/>
    </row>
    <row r="52" spans="1:23" ht="18" thickBot="1">
      <c r="A52" s="193"/>
      <c r="B52" s="157" t="s">
        <v>209</v>
      </c>
      <c r="C52" s="157" t="s">
        <v>210</v>
      </c>
      <c r="D52" s="158" t="s">
        <v>271</v>
      </c>
      <c r="E52" s="157" t="s">
        <v>271</v>
      </c>
      <c r="F52" s="157" t="s">
        <v>272</v>
      </c>
      <c r="G52" s="157" t="s">
        <v>250</v>
      </c>
      <c r="H52" s="157"/>
      <c r="I52" s="157" t="s">
        <v>213</v>
      </c>
      <c r="J52" s="157">
        <v>50</v>
      </c>
      <c r="K52" s="157">
        <v>81100</v>
      </c>
      <c r="L52" s="157" t="s">
        <v>119</v>
      </c>
      <c r="M52" s="164">
        <v>3462.460008586901</v>
      </c>
      <c r="N52" s="159">
        <v>5000000</v>
      </c>
      <c r="O52" s="157"/>
      <c r="P52" s="157"/>
      <c r="Q52" s="157"/>
      <c r="R52" s="157" t="s">
        <v>274</v>
      </c>
      <c r="S52" s="157" t="s">
        <v>235</v>
      </c>
      <c r="T52" s="157" t="s">
        <v>276</v>
      </c>
      <c r="U52" s="157" t="s">
        <v>277</v>
      </c>
      <c r="V52" s="156"/>
      <c r="W52" s="156"/>
    </row>
    <row r="53" spans="1:23">
      <c r="A53" s="194">
        <v>3</v>
      </c>
      <c r="B53" s="160" t="s">
        <v>209</v>
      </c>
      <c r="C53" s="160" t="s">
        <v>210</v>
      </c>
      <c r="D53" s="161" t="s">
        <v>271</v>
      </c>
      <c r="E53" s="160" t="s">
        <v>271</v>
      </c>
      <c r="F53" s="160" t="s">
        <v>272</v>
      </c>
      <c r="G53" s="160" t="s">
        <v>250</v>
      </c>
      <c r="H53" s="160"/>
      <c r="I53" s="160" t="s">
        <v>213</v>
      </c>
      <c r="J53" s="160">
        <v>50</v>
      </c>
      <c r="K53" s="160">
        <v>13300</v>
      </c>
      <c r="L53" s="160" t="s">
        <v>273</v>
      </c>
      <c r="M53" s="136">
        <v>-7.3057906181183609</v>
      </c>
      <c r="N53" s="162">
        <v>-10550</v>
      </c>
      <c r="O53" s="160"/>
      <c r="P53" s="160"/>
      <c r="Q53" s="160"/>
      <c r="R53" s="160" t="s">
        <v>278</v>
      </c>
      <c r="S53" s="160" t="s">
        <v>226</v>
      </c>
      <c r="T53" s="160" t="s">
        <v>279</v>
      </c>
      <c r="U53" s="160" t="s">
        <v>280</v>
      </c>
      <c r="V53" s="150"/>
      <c r="W53" s="150"/>
    </row>
    <row r="54" spans="1:23">
      <c r="A54" s="195"/>
      <c r="B54" s="100" t="s">
        <v>209</v>
      </c>
      <c r="C54" s="100" t="s">
        <v>210</v>
      </c>
      <c r="D54" s="101" t="s">
        <v>271</v>
      </c>
      <c r="E54" s="100" t="s">
        <v>271</v>
      </c>
      <c r="F54" s="100" t="s">
        <v>272</v>
      </c>
      <c r="G54" s="100" t="s">
        <v>250</v>
      </c>
      <c r="H54" s="100"/>
      <c r="I54" s="100" t="s">
        <v>213</v>
      </c>
      <c r="J54" s="100">
        <v>40</v>
      </c>
      <c r="K54" s="100">
        <v>82100</v>
      </c>
      <c r="L54" s="100" t="s">
        <v>128</v>
      </c>
      <c r="M54" s="141">
        <v>7.3057906181183609</v>
      </c>
      <c r="N54" s="163">
        <v>10550</v>
      </c>
      <c r="O54" s="100"/>
      <c r="P54" s="100"/>
      <c r="Q54" s="100"/>
      <c r="R54" s="100" t="s">
        <v>278</v>
      </c>
      <c r="S54" s="100" t="s">
        <v>281</v>
      </c>
      <c r="T54" s="100" t="s">
        <v>279</v>
      </c>
      <c r="U54" s="100" t="s">
        <v>280</v>
      </c>
    </row>
    <row r="55" spans="1:23">
      <c r="A55" s="195"/>
      <c r="B55" s="100" t="s">
        <v>209</v>
      </c>
      <c r="C55" s="100" t="s">
        <v>210</v>
      </c>
      <c r="D55" s="101" t="s">
        <v>271</v>
      </c>
      <c r="E55" s="100" t="s">
        <v>271</v>
      </c>
      <c r="F55" s="100" t="s">
        <v>272</v>
      </c>
      <c r="G55" s="100" t="s">
        <v>250</v>
      </c>
      <c r="H55" s="100"/>
      <c r="I55" s="100" t="s">
        <v>213</v>
      </c>
      <c r="J55" s="100">
        <v>40</v>
      </c>
      <c r="K55" s="100">
        <v>13300</v>
      </c>
      <c r="L55" s="100" t="s">
        <v>273</v>
      </c>
      <c r="M55" s="141">
        <v>-1.1536916748611554</v>
      </c>
      <c r="N55" s="163">
        <v>-1666</v>
      </c>
      <c r="O55" s="100"/>
      <c r="P55" s="100"/>
      <c r="Q55" s="100"/>
      <c r="R55" s="100" t="s">
        <v>278</v>
      </c>
      <c r="S55" s="100" t="s">
        <v>226</v>
      </c>
      <c r="T55" s="100" t="s">
        <v>282</v>
      </c>
      <c r="U55" s="100" t="s">
        <v>283</v>
      </c>
    </row>
    <row r="56" spans="1:23">
      <c r="A56" s="195"/>
      <c r="B56" s="100" t="s">
        <v>209</v>
      </c>
      <c r="C56" s="100" t="s">
        <v>210</v>
      </c>
      <c r="D56" s="101" t="s">
        <v>271</v>
      </c>
      <c r="E56" s="100" t="s">
        <v>271</v>
      </c>
      <c r="F56" s="100" t="s">
        <v>272</v>
      </c>
      <c r="G56" s="100" t="s">
        <v>250</v>
      </c>
      <c r="H56" s="100"/>
      <c r="I56" s="100" t="s">
        <v>213</v>
      </c>
      <c r="J56" s="100">
        <v>50</v>
      </c>
      <c r="K56" s="100">
        <v>82100</v>
      </c>
      <c r="L56" s="100" t="s">
        <v>128</v>
      </c>
      <c r="M56" s="141">
        <v>1.1536916748611554</v>
      </c>
      <c r="N56" s="163">
        <v>1666</v>
      </c>
      <c r="O56" s="100"/>
      <c r="P56" s="100"/>
      <c r="Q56" s="100"/>
      <c r="R56" s="100" t="s">
        <v>278</v>
      </c>
      <c r="S56" s="100" t="s">
        <v>284</v>
      </c>
      <c r="T56" s="100" t="s">
        <v>282</v>
      </c>
      <c r="U56" s="100" t="s">
        <v>283</v>
      </c>
    </row>
    <row r="57" spans="1:23">
      <c r="A57" s="195"/>
      <c r="B57" s="100" t="s">
        <v>209</v>
      </c>
      <c r="C57" s="100" t="s">
        <v>210</v>
      </c>
      <c r="D57" s="101" t="s">
        <v>271</v>
      </c>
      <c r="E57" s="100" t="s">
        <v>271</v>
      </c>
      <c r="F57" s="100" t="s">
        <v>272</v>
      </c>
      <c r="G57" s="100" t="s">
        <v>250</v>
      </c>
      <c r="H57" s="100"/>
      <c r="I57" s="100" t="s">
        <v>213</v>
      </c>
      <c r="J57" s="100">
        <v>40</v>
      </c>
      <c r="K57" s="100">
        <v>13300</v>
      </c>
      <c r="L57" s="100" t="s">
        <v>273</v>
      </c>
      <c r="M57" s="141">
        <v>-195.19895295209341</v>
      </c>
      <c r="N57" s="163">
        <v>-281879</v>
      </c>
      <c r="O57" s="100"/>
      <c r="P57" s="100"/>
      <c r="Q57" s="100"/>
      <c r="R57" s="100" t="s">
        <v>278</v>
      </c>
      <c r="S57" s="100" t="s">
        <v>226</v>
      </c>
      <c r="T57" s="100" t="s">
        <v>285</v>
      </c>
      <c r="U57" s="100" t="s">
        <v>286</v>
      </c>
    </row>
    <row r="58" spans="1:23">
      <c r="A58" s="195"/>
      <c r="B58" s="100" t="s">
        <v>209</v>
      </c>
      <c r="C58" s="100" t="s">
        <v>210</v>
      </c>
      <c r="D58" s="101" t="s">
        <v>271</v>
      </c>
      <c r="E58" s="100" t="s">
        <v>271</v>
      </c>
      <c r="F58" s="100" t="s">
        <v>272</v>
      </c>
      <c r="G58" s="100" t="s">
        <v>250</v>
      </c>
      <c r="H58" s="100"/>
      <c r="I58" s="100" t="s">
        <v>213</v>
      </c>
      <c r="J58" s="100">
        <v>50</v>
      </c>
      <c r="K58" s="100">
        <v>82100</v>
      </c>
      <c r="L58" s="100" t="s">
        <v>128</v>
      </c>
      <c r="M58" s="141">
        <v>195.19895295209341</v>
      </c>
      <c r="N58" s="163">
        <v>281879</v>
      </c>
      <c r="O58" s="100"/>
      <c r="P58" s="100"/>
      <c r="Q58" s="100"/>
      <c r="R58" s="100" t="s">
        <v>278</v>
      </c>
      <c r="S58" s="100" t="s">
        <v>284</v>
      </c>
      <c r="T58" s="100" t="s">
        <v>285</v>
      </c>
      <c r="U58" s="100" t="s">
        <v>286</v>
      </c>
    </row>
    <row r="59" spans="1:23">
      <c r="A59" s="195"/>
      <c r="B59" s="100" t="s">
        <v>209</v>
      </c>
      <c r="C59" s="100" t="s">
        <v>210</v>
      </c>
      <c r="D59" s="101" t="s">
        <v>271</v>
      </c>
      <c r="E59" s="100" t="s">
        <v>271</v>
      </c>
      <c r="F59" s="100" t="s">
        <v>272</v>
      </c>
      <c r="G59" s="100" t="s">
        <v>250</v>
      </c>
      <c r="H59" s="100"/>
      <c r="I59" s="100" t="s">
        <v>213</v>
      </c>
      <c r="J59" s="100">
        <v>40</v>
      </c>
      <c r="K59" s="100">
        <v>13300</v>
      </c>
      <c r="L59" s="100" t="s">
        <v>273</v>
      </c>
      <c r="M59" s="141">
        <v>-156.1590238632744</v>
      </c>
      <c r="N59" s="163">
        <v>-225503</v>
      </c>
      <c r="O59" s="100"/>
      <c r="P59" s="100"/>
      <c r="Q59" s="100"/>
      <c r="R59" s="100" t="s">
        <v>278</v>
      </c>
      <c r="S59" s="100" t="s">
        <v>226</v>
      </c>
      <c r="T59" s="100" t="s">
        <v>287</v>
      </c>
      <c r="U59" s="100" t="s">
        <v>288</v>
      </c>
    </row>
    <row r="60" spans="1:23" ht="18" thickBot="1">
      <c r="A60" s="196"/>
      <c r="B60" s="106" t="s">
        <v>209</v>
      </c>
      <c r="C60" s="106" t="s">
        <v>210</v>
      </c>
      <c r="D60" s="107" t="s">
        <v>271</v>
      </c>
      <c r="E60" s="106" t="s">
        <v>271</v>
      </c>
      <c r="F60" s="106" t="s">
        <v>272</v>
      </c>
      <c r="G60" s="106" t="s">
        <v>250</v>
      </c>
      <c r="H60" s="106"/>
      <c r="I60" s="106" t="s">
        <v>213</v>
      </c>
      <c r="J60" s="106">
        <v>50</v>
      </c>
      <c r="K60" s="106">
        <v>82100</v>
      </c>
      <c r="L60" s="106" t="s">
        <v>128</v>
      </c>
      <c r="M60" s="108">
        <v>156.1590238632744</v>
      </c>
      <c r="N60" s="109">
        <v>225503</v>
      </c>
      <c r="O60" s="106"/>
      <c r="P60" s="106"/>
      <c r="Q60" s="106"/>
      <c r="R60" s="106" t="s">
        <v>278</v>
      </c>
      <c r="S60" s="106" t="s">
        <v>284</v>
      </c>
      <c r="T60" s="106" t="s">
        <v>287</v>
      </c>
      <c r="U60" s="106" t="s">
        <v>288</v>
      </c>
      <c r="V60" s="110"/>
      <c r="W60" s="110"/>
    </row>
    <row r="61" spans="1:23">
      <c r="A61" s="197">
        <v>4</v>
      </c>
      <c r="B61" s="165" t="s">
        <v>209</v>
      </c>
      <c r="C61" s="165" t="s">
        <v>210</v>
      </c>
      <c r="D61" s="166" t="s">
        <v>289</v>
      </c>
      <c r="E61" s="165" t="s">
        <v>289</v>
      </c>
      <c r="F61" s="165" t="s">
        <v>272</v>
      </c>
      <c r="G61" s="165" t="s">
        <v>250</v>
      </c>
      <c r="H61" s="165"/>
      <c r="I61" s="165" t="s">
        <v>213</v>
      </c>
      <c r="J61" s="165">
        <v>40</v>
      </c>
      <c r="K61" s="165">
        <v>13500</v>
      </c>
      <c r="L61" s="165" t="s">
        <v>225</v>
      </c>
      <c r="M61" s="167">
        <v>770.52823289891001</v>
      </c>
      <c r="N61" s="168">
        <v>1112689</v>
      </c>
      <c r="O61" s="165"/>
      <c r="P61" s="165"/>
      <c r="Q61" s="165"/>
      <c r="R61" s="165" t="s">
        <v>290</v>
      </c>
      <c r="S61" s="165" t="s">
        <v>284</v>
      </c>
      <c r="T61" s="165" t="s">
        <v>291</v>
      </c>
      <c r="U61" s="165" t="s">
        <v>292</v>
      </c>
      <c r="V61" s="165"/>
      <c r="W61" s="165"/>
    </row>
    <row r="62" spans="1:23">
      <c r="A62" s="198"/>
      <c r="B62" s="144" t="s">
        <v>209</v>
      </c>
      <c r="C62" s="144" t="s">
        <v>210</v>
      </c>
      <c r="D62" s="169" t="s">
        <v>289</v>
      </c>
      <c r="E62" s="144" t="s">
        <v>289</v>
      </c>
      <c r="F62" s="144" t="s">
        <v>272</v>
      </c>
      <c r="G62" s="144" t="s">
        <v>250</v>
      </c>
      <c r="H62" s="144"/>
      <c r="I62" s="144" t="s">
        <v>213</v>
      </c>
      <c r="J62" s="144">
        <v>50</v>
      </c>
      <c r="K62" s="144">
        <v>81900</v>
      </c>
      <c r="L62" s="144" t="s">
        <v>293</v>
      </c>
      <c r="M62" s="170">
        <v>7705.2823289891003</v>
      </c>
      <c r="N62" s="171">
        <v>11126890</v>
      </c>
      <c r="O62" s="144"/>
      <c r="P62" s="144"/>
      <c r="Q62" s="144"/>
      <c r="R62" s="144" t="s">
        <v>290</v>
      </c>
      <c r="S62" s="144" t="s">
        <v>281</v>
      </c>
      <c r="T62" s="144" t="s">
        <v>291</v>
      </c>
      <c r="U62" s="144" t="s">
        <v>294</v>
      </c>
      <c r="V62" s="144"/>
      <c r="W62" s="144"/>
    </row>
    <row r="63" spans="1:23" ht="18" thickBot="1">
      <c r="A63" s="199"/>
      <c r="B63" s="113" t="s">
        <v>209</v>
      </c>
      <c r="C63" s="113" t="s">
        <v>210</v>
      </c>
      <c r="D63" s="114" t="s">
        <v>289</v>
      </c>
      <c r="E63" s="113" t="s">
        <v>289</v>
      </c>
      <c r="F63" s="113" t="s">
        <v>272</v>
      </c>
      <c r="G63" s="113" t="s">
        <v>250</v>
      </c>
      <c r="H63" s="113"/>
      <c r="I63" s="113" t="s">
        <v>213</v>
      </c>
      <c r="J63" s="113">
        <v>40</v>
      </c>
      <c r="K63" s="113">
        <v>13300</v>
      </c>
      <c r="L63" s="113" t="s">
        <v>273</v>
      </c>
      <c r="M63" s="115">
        <v>-8475.8105618880109</v>
      </c>
      <c r="N63" s="116">
        <v>-12239579</v>
      </c>
      <c r="O63" s="113"/>
      <c r="P63" s="113"/>
      <c r="Q63" s="113"/>
      <c r="R63" s="113" t="s">
        <v>290</v>
      </c>
      <c r="S63" s="113" t="s">
        <v>284</v>
      </c>
      <c r="T63" s="113" t="s">
        <v>291</v>
      </c>
      <c r="U63" s="113" t="s">
        <v>292</v>
      </c>
      <c r="V63" s="113"/>
      <c r="W63" s="113"/>
    </row>
    <row r="64" spans="1:23">
      <c r="A64" s="192">
        <v>5</v>
      </c>
      <c r="B64" s="148" t="s">
        <v>209</v>
      </c>
      <c r="C64" s="148" t="s">
        <v>210</v>
      </c>
      <c r="D64" s="176" t="s">
        <v>295</v>
      </c>
      <c r="E64" s="148" t="s">
        <v>295</v>
      </c>
      <c r="F64" s="148"/>
      <c r="G64" s="148" t="s">
        <v>250</v>
      </c>
      <c r="H64" s="148"/>
      <c r="I64" s="148" t="s">
        <v>213</v>
      </c>
      <c r="J64" s="148"/>
      <c r="K64" s="148">
        <v>10302</v>
      </c>
      <c r="L64" s="148" t="s">
        <v>215</v>
      </c>
      <c r="M64" s="149">
        <v>-167.62275079971758</v>
      </c>
      <c r="N64" s="177">
        <v>-242800</v>
      </c>
      <c r="O64" s="148"/>
      <c r="P64" s="148"/>
      <c r="Q64" s="148"/>
      <c r="R64" s="176" t="s">
        <v>295</v>
      </c>
      <c r="S64" s="148"/>
      <c r="T64" s="148" t="s">
        <v>296</v>
      </c>
      <c r="U64" s="148" t="s">
        <v>297</v>
      </c>
      <c r="V64" s="165"/>
      <c r="W64" s="165"/>
    </row>
    <row r="65" spans="1:23">
      <c r="A65" s="200"/>
      <c r="B65" s="139" t="s">
        <v>209</v>
      </c>
      <c r="C65" s="139" t="s">
        <v>210</v>
      </c>
      <c r="D65" s="140" t="s">
        <v>295</v>
      </c>
      <c r="E65" s="139" t="s">
        <v>295</v>
      </c>
      <c r="F65" s="139"/>
      <c r="G65" s="139" t="s">
        <v>250</v>
      </c>
      <c r="H65" s="139"/>
      <c r="I65" s="139" t="s">
        <v>213</v>
      </c>
      <c r="J65" s="139"/>
      <c r="K65" s="139">
        <v>81600</v>
      </c>
      <c r="L65" s="139" t="s">
        <v>124</v>
      </c>
      <c r="M65" s="141">
        <v>167.62827378985926</v>
      </c>
      <c r="N65" s="142">
        <v>242808</v>
      </c>
      <c r="O65" s="139"/>
      <c r="P65" s="139"/>
      <c r="Q65" s="139"/>
      <c r="R65" s="140" t="s">
        <v>295</v>
      </c>
      <c r="S65" s="139"/>
      <c r="T65" s="139" t="s">
        <v>298</v>
      </c>
      <c r="U65" s="100" t="s">
        <v>299</v>
      </c>
      <c r="V65" s="143"/>
      <c r="W65" s="143"/>
    </row>
    <row r="66" spans="1:23" ht="18" thickBot="1">
      <c r="A66" s="193"/>
      <c r="B66" s="111" t="s">
        <v>209</v>
      </c>
      <c r="C66" s="111" t="s">
        <v>210</v>
      </c>
      <c r="D66" s="178" t="s">
        <v>295</v>
      </c>
      <c r="E66" s="111" t="s">
        <v>295</v>
      </c>
      <c r="F66" s="111"/>
      <c r="G66" s="111" t="s">
        <v>250</v>
      </c>
      <c r="H66" s="111"/>
      <c r="I66" s="111" t="s">
        <v>213</v>
      </c>
      <c r="J66" s="111"/>
      <c r="K66" s="111">
        <v>81600</v>
      </c>
      <c r="L66" s="111" t="s">
        <v>124</v>
      </c>
      <c r="M66" s="179">
        <v>-5.52299014167109E-3</v>
      </c>
      <c r="N66" s="180">
        <v>-8</v>
      </c>
      <c r="O66" s="111"/>
      <c r="P66" s="111"/>
      <c r="Q66" s="111"/>
      <c r="R66" s="178" t="s">
        <v>295</v>
      </c>
      <c r="S66" s="111"/>
      <c r="T66" s="111" t="s">
        <v>298</v>
      </c>
      <c r="U66" s="106" t="s">
        <v>297</v>
      </c>
      <c r="V66" s="113"/>
      <c r="W66" s="113"/>
    </row>
    <row r="69" spans="1:23">
      <c r="A69" s="52">
        <v>81100</v>
      </c>
      <c r="B69" s="181">
        <v>10.591108082396659</v>
      </c>
      <c r="C69" s="52" t="s">
        <v>301</v>
      </c>
    </row>
    <row r="70" spans="1:23">
      <c r="A70" s="52">
        <v>81101</v>
      </c>
      <c r="B70" s="181">
        <v>-788.9799050411998</v>
      </c>
      <c r="C70" s="52" t="s">
        <v>301</v>
      </c>
    </row>
    <row r="71" spans="1:23">
      <c r="A71" s="52">
        <v>81600</v>
      </c>
      <c r="B71" s="181">
        <v>167.6220601712788</v>
      </c>
      <c r="C71" s="52" t="s">
        <v>300</v>
      </c>
    </row>
    <row r="72" spans="1:23">
      <c r="A72" s="52">
        <v>81900</v>
      </c>
      <c r="B72" s="181">
        <v>23.569218922187247</v>
      </c>
      <c r="C72" s="52" t="s">
        <v>301</v>
      </c>
    </row>
    <row r="73" spans="1:23">
      <c r="A73" s="52">
        <v>82100</v>
      </c>
      <c r="B73" s="181">
        <v>1.1006237154794007</v>
      </c>
      <c r="C73" s="52" t="s">
        <v>301</v>
      </c>
    </row>
    <row r="74" spans="1:23">
      <c r="B74" s="131">
        <f>SUM(B69:B73)</f>
        <v>-586.09689414985769</v>
      </c>
      <c r="C74" s="182" t="s">
        <v>343</v>
      </c>
    </row>
    <row r="75" spans="1:23">
      <c r="B75" s="60">
        <f>B74*0.06</f>
        <v>-35.16581364899146</v>
      </c>
      <c r="C75" s="52" t="s">
        <v>246</v>
      </c>
    </row>
    <row r="76" spans="1:23">
      <c r="B76" s="60">
        <f>B74+B75</f>
        <v>-621.26270779884919</v>
      </c>
      <c r="C76" s="52" t="s">
        <v>342</v>
      </c>
    </row>
    <row r="77" spans="1:23">
      <c r="B77" s="52" t="s">
        <v>393</v>
      </c>
    </row>
  </sheetData>
  <autoFilter ref="A33:W50" xr:uid="{29BAA9A9-C666-4CC1-94B7-649FA78E1250}"/>
  <mergeCells count="5">
    <mergeCell ref="A35:A50"/>
    <mergeCell ref="A51:A52"/>
    <mergeCell ref="A53:A60"/>
    <mergeCell ref="A61:A63"/>
    <mergeCell ref="A64:A6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1BA4-EBCF-4236-8310-4E1E34AA3983}">
  <sheetPr>
    <tabColor rgb="FFFFFF00"/>
  </sheetPr>
  <dimension ref="A1:W76"/>
  <sheetViews>
    <sheetView topLeftCell="A56" zoomScaleNormal="100" workbookViewId="0">
      <selection activeCell="E38" sqref="E38"/>
    </sheetView>
  </sheetViews>
  <sheetFormatPr defaultColWidth="9.6640625" defaultRowHeight="17.399999999999999"/>
  <cols>
    <col min="1" max="1" width="32.6640625" style="202" bestFit="1" customWidth="1"/>
    <col min="2" max="2" width="32.5546875" style="202" bestFit="1" customWidth="1"/>
    <col min="3" max="3" width="32.5546875" style="202" customWidth="1"/>
    <col min="4" max="5" width="20.33203125" style="202" bestFit="1" customWidth="1"/>
    <col min="6" max="11" width="9.6640625" style="202"/>
    <col min="12" max="12" width="42.88671875" style="202" bestFit="1" customWidth="1"/>
    <col min="13" max="13" width="29.88671875" style="202" bestFit="1" customWidth="1"/>
    <col min="14" max="14" width="30" style="202" bestFit="1" customWidth="1"/>
    <col min="15" max="16384" width="9.6640625" style="202"/>
  </cols>
  <sheetData>
    <row r="1" spans="1:6" ht="19.2">
      <c r="A1" s="201" t="s">
        <v>112</v>
      </c>
    </row>
    <row r="2" spans="1:6" ht="19.2">
      <c r="A2" s="201" t="s">
        <v>113</v>
      </c>
    </row>
    <row r="3" spans="1:6" ht="19.2">
      <c r="A3" s="201" t="s">
        <v>144</v>
      </c>
    </row>
    <row r="5" spans="1:6">
      <c r="E5" s="203">
        <v>1488.4736</v>
      </c>
    </row>
    <row r="6" spans="1:6" ht="15" customHeight="1">
      <c r="A6" s="204" t="s">
        <v>115</v>
      </c>
      <c r="B6" s="204" t="s">
        <v>116</v>
      </c>
      <c r="C6" s="204"/>
      <c r="D6" s="68" t="s">
        <v>117</v>
      </c>
      <c r="E6" s="68" t="s">
        <v>149</v>
      </c>
    </row>
    <row r="7" spans="1:6">
      <c r="A7" s="81" t="s">
        <v>33</v>
      </c>
      <c r="B7" s="82" t="s">
        <v>118</v>
      </c>
      <c r="C7" s="82" t="s">
        <v>154</v>
      </c>
      <c r="D7" s="83">
        <v>30152.098072056597</v>
      </c>
      <c r="E7" s="83">
        <f>_xlfn.XLOOKUP(A7,'Jan–Apr 2026 Summary'!B:B,'Jan–Apr 2026 Summary'!I:I)</f>
        <v>30152.097423830695</v>
      </c>
      <c r="F7" s="84">
        <f>D7-E7</f>
        <v>6.4822590138646774E-4</v>
      </c>
    </row>
    <row r="8" spans="1:6">
      <c r="A8" s="81" t="s">
        <v>150</v>
      </c>
      <c r="B8" s="82" t="s">
        <v>142</v>
      </c>
      <c r="C8" s="82" t="s">
        <v>171</v>
      </c>
      <c r="D8" s="83">
        <v>0</v>
      </c>
      <c r="E8" s="83">
        <v>0</v>
      </c>
      <c r="F8" s="84">
        <f t="shared" ref="F8:F27" si="0">D8-E8</f>
        <v>0</v>
      </c>
    </row>
    <row r="9" spans="1:6">
      <c r="A9" s="205" t="s">
        <v>35</v>
      </c>
      <c r="B9" s="206" t="s">
        <v>119</v>
      </c>
      <c r="C9" s="206" t="s">
        <v>155</v>
      </c>
      <c r="D9" s="69">
        <v>3493.7000661866341</v>
      </c>
      <c r="E9" s="69">
        <f>_xlfn.XLOOKUP(A9,'Jan–Apr 2026 Summary'!B:B,'Jan–Apr 2026 Summary'!I:I)</f>
        <v>3390.3859631773112</v>
      </c>
      <c r="F9" s="216">
        <f>D9-E9</f>
        <v>103.31410300932293</v>
      </c>
    </row>
    <row r="10" spans="1:6">
      <c r="A10" s="81" t="s">
        <v>70</v>
      </c>
      <c r="B10" s="82" t="s">
        <v>120</v>
      </c>
      <c r="C10" s="82" t="s">
        <v>156</v>
      </c>
      <c r="D10" s="83">
        <v>2810.3690182558894</v>
      </c>
      <c r="E10" s="83">
        <f>_xlfn.XLOOKUP(A10,'Jan–Apr 2026 Summary'!B:B,'Jan–Apr 2026 Summary'!I:I)</f>
        <v>2810.3689578370754</v>
      </c>
      <c r="F10" s="84">
        <f t="shared" si="0"/>
        <v>6.041881397322868E-5</v>
      </c>
    </row>
    <row r="11" spans="1:6">
      <c r="A11" s="81" t="s">
        <v>37</v>
      </c>
      <c r="B11" s="82" t="s">
        <v>121</v>
      </c>
      <c r="C11" s="82" t="s">
        <v>39</v>
      </c>
      <c r="D11" s="83">
        <v>0</v>
      </c>
      <c r="E11" s="83">
        <f>_xlfn.XLOOKUP(A11,'Jan–Apr 2026 Summary'!B:B,'Jan–Apr 2026 Summary'!I:I)</f>
        <v>0</v>
      </c>
      <c r="F11" s="84">
        <f t="shared" si="0"/>
        <v>0</v>
      </c>
    </row>
    <row r="12" spans="1:6">
      <c r="A12" s="81" t="s">
        <v>40</v>
      </c>
      <c r="B12" s="82" t="s">
        <v>122</v>
      </c>
      <c r="C12" s="82" t="s">
        <v>157</v>
      </c>
      <c r="D12" s="83">
        <v>0</v>
      </c>
      <c r="E12" s="83">
        <f>_xlfn.XLOOKUP(A12,'Jan–Apr 2026 Summary'!B:B,'Jan–Apr 2026 Summary'!I:I)</f>
        <v>0</v>
      </c>
      <c r="F12" s="84">
        <f t="shared" si="0"/>
        <v>0</v>
      </c>
    </row>
    <row r="13" spans="1:6">
      <c r="A13" s="81" t="s">
        <v>42</v>
      </c>
      <c r="B13" s="82" t="s">
        <v>123</v>
      </c>
      <c r="C13" s="82" t="s">
        <v>44</v>
      </c>
      <c r="D13" s="83">
        <v>107.35225900900916</v>
      </c>
      <c r="E13" s="83">
        <f>_xlfn.XLOOKUP(A13,'Jan–Apr 2026 Summary'!B:B,'Jan–Apr 2026 Summary'!I:I)</f>
        <v>107.35763133454299</v>
      </c>
      <c r="F13" s="84">
        <f t="shared" si="0"/>
        <v>-5.3723255338269382E-3</v>
      </c>
    </row>
    <row r="14" spans="1:6">
      <c r="A14" s="205" t="s">
        <v>45</v>
      </c>
      <c r="B14" s="206" t="s">
        <v>124</v>
      </c>
      <c r="C14" s="206" t="s">
        <v>158</v>
      </c>
      <c r="D14" s="69">
        <v>446.97751332782548</v>
      </c>
      <c r="E14" s="69">
        <f>_xlfn.XLOOKUP(A14,'Jan–Apr 2026 Summary'!B:B,'Jan–Apr 2026 Summary'!I:I)-846.5+419.66</f>
        <v>445.94672594529055</v>
      </c>
      <c r="F14" s="216">
        <f t="shared" si="0"/>
        <v>1.0307873825349247</v>
      </c>
    </row>
    <row r="15" spans="1:6">
      <c r="A15" s="81" t="s">
        <v>47</v>
      </c>
      <c r="B15" s="82" t="s">
        <v>125</v>
      </c>
      <c r="C15" s="82" t="s">
        <v>159</v>
      </c>
      <c r="D15" s="83">
        <v>0</v>
      </c>
      <c r="E15" s="83">
        <v>0</v>
      </c>
      <c r="F15" s="84">
        <f t="shared" si="0"/>
        <v>0</v>
      </c>
    </row>
    <row r="16" spans="1:6">
      <c r="A16" s="205" t="s">
        <v>49</v>
      </c>
      <c r="B16" s="206" t="s">
        <v>126</v>
      </c>
      <c r="C16" s="206" t="s">
        <v>160</v>
      </c>
      <c r="D16" s="69">
        <v>25100.265916928664</v>
      </c>
      <c r="E16" s="69">
        <f>_xlfn.XLOOKUP(A16,'Jan–Apr 2026 Summary'!B:B,'Jan–Apr 2026 Summary'!I:I)</f>
        <v>24351.315334044219</v>
      </c>
      <c r="F16" s="216">
        <f t="shared" si="0"/>
        <v>748.95058288444488</v>
      </c>
    </row>
    <row r="17" spans="1:7">
      <c r="A17" s="81" t="s">
        <v>51</v>
      </c>
      <c r="B17" s="82" t="s">
        <v>127</v>
      </c>
      <c r="C17" s="82" t="s">
        <v>53</v>
      </c>
      <c r="D17" s="83">
        <v>33.530323327850994</v>
      </c>
      <c r="E17" s="83">
        <f>_xlfn.XLOOKUP(A17,'Jan–Apr 2026 Summary'!B:B,'Jan–Apr 2026 Summary'!I:I)</f>
        <v>33.530322606998205</v>
      </c>
      <c r="F17" s="84">
        <f t="shared" si="0"/>
        <v>7.2085278901568017E-7</v>
      </c>
    </row>
    <row r="18" spans="1:7">
      <c r="A18" s="205" t="s">
        <v>68</v>
      </c>
      <c r="B18" s="206" t="s">
        <v>128</v>
      </c>
      <c r="C18" s="206" t="s">
        <v>161</v>
      </c>
      <c r="D18" s="69">
        <v>358.31703665099269</v>
      </c>
      <c r="E18" s="69">
        <f>_xlfn.XLOOKUP(A18,'Jan–Apr 2026 Summary'!B:B,'Jan–Apr 2026 Summary'!I:I)</f>
        <v>347.5694832612416</v>
      </c>
      <c r="F18" s="216">
        <f t="shared" si="0"/>
        <v>10.74755338975109</v>
      </c>
    </row>
    <row r="19" spans="1:7">
      <c r="A19" s="81" t="s">
        <v>54</v>
      </c>
      <c r="B19" s="82" t="s">
        <v>129</v>
      </c>
      <c r="C19" s="82" t="s">
        <v>162</v>
      </c>
      <c r="D19" s="83">
        <v>3408.1895097515098</v>
      </c>
      <c r="E19" s="83">
        <f>_xlfn.XLOOKUP(A19,'Jan–Apr 2026 Summary'!B:B,'Jan–Apr 2026 Summary'!I:I)</f>
        <v>3408.1894364804321</v>
      </c>
      <c r="F19" s="84">
        <f t="shared" si="0"/>
        <v>7.3271077781100757E-5</v>
      </c>
    </row>
    <row r="20" spans="1:7">
      <c r="A20" s="81" t="s">
        <v>137</v>
      </c>
      <c r="B20" s="82" t="s">
        <v>130</v>
      </c>
      <c r="C20" s="82" t="s">
        <v>163</v>
      </c>
      <c r="D20" s="83">
        <v>846.50478657340864</v>
      </c>
      <c r="E20" s="83">
        <v>846.5</v>
      </c>
      <c r="F20" s="84">
        <f t="shared" si="0"/>
        <v>4.7865734086371958E-3</v>
      </c>
    </row>
    <row r="21" spans="1:7">
      <c r="A21" s="205" t="s">
        <v>151</v>
      </c>
      <c r="B21" s="208" t="s">
        <v>145</v>
      </c>
      <c r="C21" s="209" t="s">
        <v>172</v>
      </c>
      <c r="D21" s="69">
        <v>6668.952994650369</v>
      </c>
      <c r="E21" s="69">
        <v>6668.1532007017122</v>
      </c>
      <c r="F21" s="216">
        <f t="shared" si="0"/>
        <v>0.79979394865677023</v>
      </c>
    </row>
    <row r="22" spans="1:7">
      <c r="A22" s="81" t="s">
        <v>56</v>
      </c>
      <c r="B22" s="82" t="s">
        <v>131</v>
      </c>
      <c r="C22" s="82" t="s">
        <v>164</v>
      </c>
      <c r="D22" s="83">
        <v>0</v>
      </c>
      <c r="E22" s="83">
        <f>_xlfn.XLOOKUP(A22,'Jan–Apr 2026 Summary'!B:B,'Jan–Apr 2026 Summary'!I:I)</f>
        <v>0</v>
      </c>
      <c r="F22" s="84">
        <f t="shared" si="0"/>
        <v>0</v>
      </c>
    </row>
    <row r="23" spans="1:7">
      <c r="A23" s="205" t="s">
        <v>59</v>
      </c>
      <c r="B23" s="206" t="s">
        <v>132</v>
      </c>
      <c r="C23" s="206" t="s">
        <v>165</v>
      </c>
      <c r="D23" s="69">
        <v>65.939848817395358</v>
      </c>
      <c r="E23" s="69">
        <f>_xlfn.XLOOKUP(A23,'Jan–Apr 2026 Summary'!B:B,'Jan–Apr 2026 Summary'!I:I)</f>
        <v>63.823772218734682</v>
      </c>
      <c r="F23" s="216">
        <f t="shared" si="0"/>
        <v>2.1160765986606762</v>
      </c>
    </row>
    <row r="24" spans="1:7">
      <c r="A24" s="81" t="s">
        <v>61</v>
      </c>
      <c r="B24" s="82" t="s">
        <v>133</v>
      </c>
      <c r="C24" s="82" t="s">
        <v>166</v>
      </c>
      <c r="D24" s="83">
        <v>8462.7072128162927</v>
      </c>
      <c r="E24" s="83">
        <f>_xlfn.XLOOKUP(A24,'Jan–Apr 2026 Summary'!B:B,'Jan–Apr 2026 Summary'!I:I)</f>
        <v>8462.7070308804941</v>
      </c>
      <c r="F24" s="84">
        <f t="shared" si="0"/>
        <v>1.819357985368697E-4</v>
      </c>
    </row>
    <row r="25" spans="1:7">
      <c r="A25" s="81" t="s">
        <v>65</v>
      </c>
      <c r="B25" s="82" t="s">
        <v>134</v>
      </c>
      <c r="C25" s="82" t="s">
        <v>167</v>
      </c>
      <c r="D25" s="83">
        <v>4.2997068524363611</v>
      </c>
      <c r="E25" s="83">
        <f>_xlfn.XLOOKUP(A25,'Jan–Apr 2026 Summary'!B:B,'Jan–Apr 2026 Summary'!I:I)</f>
        <v>4.2997067599989682</v>
      </c>
      <c r="F25" s="84">
        <f t="shared" si="0"/>
        <v>9.2437392851252298E-8</v>
      </c>
    </row>
    <row r="26" spans="1:7">
      <c r="A26" s="81" t="s">
        <v>63</v>
      </c>
      <c r="B26" s="82" t="s">
        <v>135</v>
      </c>
      <c r="C26" s="82" t="s">
        <v>168</v>
      </c>
      <c r="D26" s="83">
        <v>62073.317246840088</v>
      </c>
      <c r="E26" s="83">
        <f>_xlfn.XLOOKUP(A26,'Jan–Apr 2026 Summary'!B:B,'Jan–Apr 2026 Summary'!I:I)</f>
        <v>62073.315912354774</v>
      </c>
      <c r="F26" s="84">
        <f t="shared" si="0"/>
        <v>1.3344853141461499E-3</v>
      </c>
    </row>
    <row r="27" spans="1:7">
      <c r="A27" s="81" t="s">
        <v>138</v>
      </c>
      <c r="B27" s="82" t="s">
        <v>136</v>
      </c>
      <c r="C27" s="82" t="s">
        <v>169</v>
      </c>
      <c r="D27" s="83">
        <v>26.873167827727258</v>
      </c>
      <c r="E27" s="83">
        <v>26.87</v>
      </c>
      <c r="F27" s="84">
        <f t="shared" si="0"/>
        <v>3.1678277272568778E-3</v>
      </c>
    </row>
    <row r="28" spans="1:7">
      <c r="A28" s="210"/>
      <c r="B28" s="66" t="s">
        <v>106</v>
      </c>
      <c r="C28" s="66"/>
      <c r="D28" s="64">
        <f>SUM(D7:D27)</f>
        <v>144059.39467987273</v>
      </c>
      <c r="E28" s="64">
        <f>SUM(E7:E27)</f>
        <v>143192.43090143352</v>
      </c>
      <c r="F28" s="207">
        <f>D28-E28</f>
        <v>866.96377843921073</v>
      </c>
      <c r="G28" s="207"/>
    </row>
    <row r="29" spans="1:7">
      <c r="B29" s="210" t="s">
        <v>107</v>
      </c>
      <c r="C29" s="210"/>
      <c r="D29" s="211">
        <f>D28*0.06</f>
        <v>8643.5636807923638</v>
      </c>
      <c r="E29" s="211">
        <f>E28*0.06</f>
        <v>8591.5458540860109</v>
      </c>
      <c r="F29" s="207">
        <f>D29-E29</f>
        <v>52.017826706352935</v>
      </c>
    </row>
    <row r="31" spans="1:7" ht="18" thickBot="1">
      <c r="B31" s="61" t="s">
        <v>110</v>
      </c>
      <c r="C31" s="61"/>
      <c r="D31" s="62">
        <f>D28+D29</f>
        <v>152702.9583606651</v>
      </c>
      <c r="E31" s="62">
        <f>E28+E29</f>
        <v>151783.97675551951</v>
      </c>
      <c r="F31" s="207">
        <f>D31-E31</f>
        <v>918.98160514558549</v>
      </c>
    </row>
    <row r="32" spans="1:7" ht="18" thickTop="1">
      <c r="D32" s="212">
        <f>D31*$E$5</f>
        <v>227294322.16174927</v>
      </c>
      <c r="E32" s="212">
        <f>E31*$E$5</f>
        <v>225926442.30360445</v>
      </c>
    </row>
    <row r="33" spans="1:23" ht="18" thickBot="1"/>
    <row r="34" spans="1:23">
      <c r="A34" s="85" t="s">
        <v>174</v>
      </c>
      <c r="B34" s="85" t="s">
        <v>175</v>
      </c>
      <c r="C34" s="85" t="s">
        <v>176</v>
      </c>
      <c r="D34" s="86" t="s">
        <v>177</v>
      </c>
      <c r="E34" s="85" t="s">
        <v>178</v>
      </c>
      <c r="F34" s="85" t="s">
        <v>179</v>
      </c>
      <c r="G34" s="87" t="s">
        <v>180</v>
      </c>
      <c r="H34" s="85" t="s">
        <v>181</v>
      </c>
      <c r="I34" s="85" t="s">
        <v>182</v>
      </c>
      <c r="J34" s="85" t="s">
        <v>183</v>
      </c>
      <c r="K34" s="87" t="s">
        <v>184</v>
      </c>
      <c r="L34" s="85" t="s">
        <v>185</v>
      </c>
      <c r="M34" s="88" t="s">
        <v>186</v>
      </c>
      <c r="N34" s="85" t="s">
        <v>187</v>
      </c>
      <c r="O34" s="87" t="s">
        <v>188</v>
      </c>
      <c r="P34" s="85" t="s">
        <v>189</v>
      </c>
      <c r="Q34" s="85" t="s">
        <v>190</v>
      </c>
      <c r="R34" s="85" t="s">
        <v>191</v>
      </c>
      <c r="S34" s="87" t="s">
        <v>192</v>
      </c>
      <c r="T34" s="85" t="s">
        <v>193</v>
      </c>
      <c r="U34" s="85" t="s">
        <v>194</v>
      </c>
      <c r="V34" s="85" t="s">
        <v>195</v>
      </c>
      <c r="W34" s="87" t="s">
        <v>196</v>
      </c>
    </row>
    <row r="35" spans="1:23" ht="18" thickBot="1">
      <c r="A35" s="89" t="s">
        <v>197</v>
      </c>
      <c r="B35" s="89" t="s">
        <v>198</v>
      </c>
      <c r="C35" s="89" t="s">
        <v>199</v>
      </c>
      <c r="D35" s="90" t="s">
        <v>200</v>
      </c>
      <c r="E35" s="91" t="s">
        <v>200</v>
      </c>
      <c r="F35" s="89" t="s">
        <v>199</v>
      </c>
      <c r="G35" s="91" t="s">
        <v>201</v>
      </c>
      <c r="H35" s="89" t="s">
        <v>202</v>
      </c>
      <c r="I35" s="89" t="s">
        <v>203</v>
      </c>
      <c r="J35" s="89" t="s">
        <v>199</v>
      </c>
      <c r="K35" s="91"/>
      <c r="L35" s="89"/>
      <c r="M35" s="92"/>
      <c r="N35" s="89"/>
      <c r="O35" s="91"/>
      <c r="P35" s="89" t="s">
        <v>204</v>
      </c>
      <c r="Q35" s="89" t="s">
        <v>204</v>
      </c>
      <c r="R35" s="89" t="s">
        <v>202</v>
      </c>
      <c r="S35" s="91" t="s">
        <v>205</v>
      </c>
      <c r="T35" s="89" t="s">
        <v>206</v>
      </c>
      <c r="U35" s="89" t="s">
        <v>207</v>
      </c>
      <c r="V35" s="89" t="s">
        <v>207</v>
      </c>
      <c r="W35" s="91" t="s">
        <v>208</v>
      </c>
    </row>
    <row r="36" spans="1:23">
      <c r="A36" s="217">
        <v>1</v>
      </c>
      <c r="B36" s="218" t="s">
        <v>209</v>
      </c>
      <c r="C36" s="218" t="s">
        <v>210</v>
      </c>
      <c r="D36" s="219" t="s">
        <v>302</v>
      </c>
      <c r="E36" s="218" t="s">
        <v>302</v>
      </c>
      <c r="F36" s="218"/>
      <c r="G36" s="218" t="s">
        <v>303</v>
      </c>
      <c r="H36" s="218"/>
      <c r="I36" s="218" t="s">
        <v>213</v>
      </c>
      <c r="J36" s="218"/>
      <c r="K36" s="218">
        <v>13300</v>
      </c>
      <c r="L36" s="218" t="s">
        <v>273</v>
      </c>
      <c r="M36" s="220">
        <v>-3462.460008586901</v>
      </c>
      <c r="N36" s="221">
        <v>-5000000</v>
      </c>
      <c r="O36" s="218"/>
      <c r="P36" s="218"/>
      <c r="Q36" s="218"/>
      <c r="R36" s="219" t="s">
        <v>302</v>
      </c>
      <c r="S36" s="218"/>
      <c r="T36" s="218" t="s">
        <v>304</v>
      </c>
      <c r="U36" s="227" t="s">
        <v>305</v>
      </c>
      <c r="V36" s="218"/>
      <c r="W36" s="218"/>
    </row>
    <row r="37" spans="1:23" ht="18" thickBot="1">
      <c r="A37" s="222"/>
      <c r="B37" s="223" t="s">
        <v>209</v>
      </c>
      <c r="C37" s="223" t="s">
        <v>210</v>
      </c>
      <c r="D37" s="107" t="s">
        <v>302</v>
      </c>
      <c r="E37" s="223" t="s">
        <v>302</v>
      </c>
      <c r="F37" s="223"/>
      <c r="G37" s="223" t="s">
        <v>303</v>
      </c>
      <c r="H37" s="223"/>
      <c r="I37" s="223" t="s">
        <v>213</v>
      </c>
      <c r="J37" s="223"/>
      <c r="K37" s="223">
        <v>81100</v>
      </c>
      <c r="L37" s="223" t="s">
        <v>119</v>
      </c>
      <c r="M37" s="108">
        <v>3462.460008586901</v>
      </c>
      <c r="N37" s="146">
        <v>5000000</v>
      </c>
      <c r="O37" s="223"/>
      <c r="P37" s="223"/>
      <c r="Q37" s="223"/>
      <c r="R37" s="107" t="s">
        <v>302</v>
      </c>
      <c r="S37" s="223"/>
      <c r="T37" s="223" t="s">
        <v>304</v>
      </c>
      <c r="U37" s="236" t="s">
        <v>306</v>
      </c>
      <c r="V37" s="223"/>
      <c r="W37" s="223"/>
    </row>
    <row r="38" spans="1:23">
      <c r="A38" s="224">
        <v>2</v>
      </c>
      <c r="B38" s="225" t="s">
        <v>209</v>
      </c>
      <c r="C38" s="225" t="s">
        <v>210</v>
      </c>
      <c r="D38" s="226" t="s">
        <v>271</v>
      </c>
      <c r="E38" s="225" t="s">
        <v>271</v>
      </c>
      <c r="F38" s="225"/>
      <c r="G38" s="225" t="s">
        <v>303</v>
      </c>
      <c r="H38" s="225"/>
      <c r="I38" s="225" t="s">
        <v>213</v>
      </c>
      <c r="J38" s="225"/>
      <c r="K38" s="225">
        <v>83000</v>
      </c>
      <c r="L38" s="225" t="s">
        <v>132</v>
      </c>
      <c r="M38" s="149">
        <v>55.86241088199764</v>
      </c>
      <c r="N38" s="177">
        <v>80000</v>
      </c>
      <c r="O38" s="225"/>
      <c r="P38" s="225"/>
      <c r="Q38" s="225"/>
      <c r="R38" s="226" t="s">
        <v>271</v>
      </c>
      <c r="S38" s="225"/>
      <c r="T38" s="225" t="s">
        <v>307</v>
      </c>
      <c r="U38" s="225" t="s">
        <v>308</v>
      </c>
      <c r="V38" s="225"/>
      <c r="W38" s="225"/>
    </row>
    <row r="39" spans="1:23">
      <c r="A39" s="217"/>
      <c r="B39" s="227" t="s">
        <v>209</v>
      </c>
      <c r="C39" s="227" t="s">
        <v>210</v>
      </c>
      <c r="D39" s="228" t="s">
        <v>271</v>
      </c>
      <c r="E39" s="227" t="s">
        <v>271</v>
      </c>
      <c r="F39" s="227"/>
      <c r="G39" s="227" t="s">
        <v>303</v>
      </c>
      <c r="H39" s="227"/>
      <c r="I39" s="227" t="s">
        <v>213</v>
      </c>
      <c r="J39" s="227"/>
      <c r="K39" s="227">
        <v>13300</v>
      </c>
      <c r="L39" s="227" t="s">
        <v>273</v>
      </c>
      <c r="M39" s="220">
        <v>-55.86241088199764</v>
      </c>
      <c r="N39" s="221">
        <v>-80000</v>
      </c>
      <c r="O39" s="227"/>
      <c r="P39" s="227"/>
      <c r="Q39" s="227"/>
      <c r="R39" s="228" t="s">
        <v>271</v>
      </c>
      <c r="S39" s="227"/>
      <c r="T39" s="227" t="s">
        <v>309</v>
      </c>
      <c r="U39" s="227" t="s">
        <v>308</v>
      </c>
      <c r="V39" s="227"/>
      <c r="W39" s="227"/>
    </row>
    <row r="40" spans="1:23">
      <c r="A40" s="217"/>
      <c r="B40" s="227" t="s">
        <v>209</v>
      </c>
      <c r="C40" s="227" t="s">
        <v>210</v>
      </c>
      <c r="D40" s="228" t="s">
        <v>310</v>
      </c>
      <c r="E40" s="227" t="s">
        <v>310</v>
      </c>
      <c r="F40" s="227"/>
      <c r="G40" s="227" t="s">
        <v>303</v>
      </c>
      <c r="H40" s="227"/>
      <c r="I40" s="227" t="s">
        <v>213</v>
      </c>
      <c r="J40" s="227"/>
      <c r="K40" s="227">
        <v>10302</v>
      </c>
      <c r="L40" s="227" t="s">
        <v>215</v>
      </c>
      <c r="M40" s="220">
        <v>-10.077437935397722</v>
      </c>
      <c r="N40" s="221">
        <v>-15000</v>
      </c>
      <c r="O40" s="227"/>
      <c r="P40" s="227"/>
      <c r="Q40" s="227"/>
      <c r="R40" s="228" t="s">
        <v>310</v>
      </c>
      <c r="S40" s="227"/>
      <c r="T40" s="227" t="s">
        <v>311</v>
      </c>
      <c r="U40" s="227" t="s">
        <v>312</v>
      </c>
      <c r="V40" s="227"/>
      <c r="W40" s="227"/>
    </row>
    <row r="41" spans="1:23" ht="18" thickBot="1">
      <c r="A41" s="222"/>
      <c r="B41" s="229" t="s">
        <v>209</v>
      </c>
      <c r="C41" s="229" t="s">
        <v>210</v>
      </c>
      <c r="D41" s="230" t="s">
        <v>310</v>
      </c>
      <c r="E41" s="229" t="s">
        <v>310</v>
      </c>
      <c r="F41" s="229"/>
      <c r="G41" s="229" t="s">
        <v>303</v>
      </c>
      <c r="H41" s="229"/>
      <c r="I41" s="229" t="s">
        <v>213</v>
      </c>
      <c r="J41" s="229"/>
      <c r="K41" s="229">
        <v>83000</v>
      </c>
      <c r="L41" s="229" t="s">
        <v>132</v>
      </c>
      <c r="M41" s="179">
        <v>10.077437935397722</v>
      </c>
      <c r="N41" s="180">
        <v>15000</v>
      </c>
      <c r="O41" s="229"/>
      <c r="P41" s="229"/>
      <c r="Q41" s="229"/>
      <c r="R41" s="230" t="s">
        <v>310</v>
      </c>
      <c r="S41" s="229"/>
      <c r="T41" s="229" t="s">
        <v>313</v>
      </c>
      <c r="U41" s="229" t="s">
        <v>314</v>
      </c>
      <c r="V41" s="229"/>
      <c r="W41" s="229"/>
    </row>
    <row r="42" spans="1:23">
      <c r="A42" s="231">
        <v>3</v>
      </c>
      <c r="B42" s="165" t="s">
        <v>209</v>
      </c>
      <c r="C42" s="165" t="s">
        <v>210</v>
      </c>
      <c r="D42" s="166" t="s">
        <v>302</v>
      </c>
      <c r="E42" s="165" t="s">
        <v>302</v>
      </c>
      <c r="F42" s="165"/>
      <c r="G42" s="165" t="s">
        <v>303</v>
      </c>
      <c r="H42" s="165"/>
      <c r="I42" s="165" t="s">
        <v>213</v>
      </c>
      <c r="J42" s="165"/>
      <c r="K42" s="165">
        <v>13600</v>
      </c>
      <c r="L42" s="165" t="s">
        <v>315</v>
      </c>
      <c r="M42" s="167">
        <v>-24.438042740606345</v>
      </c>
      <c r="N42" s="232">
        <v>-35290</v>
      </c>
      <c r="O42" s="165"/>
      <c r="P42" s="165"/>
      <c r="Q42" s="165"/>
      <c r="R42" s="166" t="s">
        <v>302</v>
      </c>
      <c r="S42" s="165"/>
      <c r="T42" s="165" t="s">
        <v>316</v>
      </c>
      <c r="U42" s="237" t="s">
        <v>317</v>
      </c>
      <c r="V42" s="165"/>
      <c r="W42" s="165"/>
    </row>
    <row r="43" spans="1:23">
      <c r="A43" s="233"/>
      <c r="B43" s="213" t="s">
        <v>209</v>
      </c>
      <c r="C43" s="213" t="s">
        <v>210</v>
      </c>
      <c r="D43" s="214" t="s">
        <v>302</v>
      </c>
      <c r="E43" s="213" t="s">
        <v>302</v>
      </c>
      <c r="F43" s="213"/>
      <c r="G43" s="213" t="s">
        <v>303</v>
      </c>
      <c r="H43" s="213"/>
      <c r="I43" s="213" t="s">
        <v>213</v>
      </c>
      <c r="J43" s="213"/>
      <c r="K43" s="213">
        <v>13600</v>
      </c>
      <c r="L43" s="213" t="s">
        <v>315</v>
      </c>
      <c r="M43" s="170">
        <v>-2.3613977258562664</v>
      </c>
      <c r="N43" s="215">
        <v>-3410</v>
      </c>
      <c r="O43" s="213"/>
      <c r="P43" s="213"/>
      <c r="Q43" s="213"/>
      <c r="R43" s="214" t="s">
        <v>302</v>
      </c>
      <c r="S43" s="213"/>
      <c r="T43" s="213" t="s">
        <v>318</v>
      </c>
      <c r="U43" s="238" t="s">
        <v>319</v>
      </c>
      <c r="V43" s="213"/>
      <c r="W43" s="213"/>
    </row>
    <row r="44" spans="1:23">
      <c r="A44" s="233"/>
      <c r="B44" s="213" t="s">
        <v>209</v>
      </c>
      <c r="C44" s="213" t="s">
        <v>210</v>
      </c>
      <c r="D44" s="214" t="s">
        <v>302</v>
      </c>
      <c r="E44" s="213" t="s">
        <v>302</v>
      </c>
      <c r="F44" s="213"/>
      <c r="G44" s="213" t="s">
        <v>303</v>
      </c>
      <c r="H44" s="213"/>
      <c r="I44" s="213" t="s">
        <v>213</v>
      </c>
      <c r="J44" s="213"/>
      <c r="K44" s="213">
        <v>85000</v>
      </c>
      <c r="L44" s="213" t="s">
        <v>145</v>
      </c>
      <c r="M44" s="170">
        <v>24.438042740606345</v>
      </c>
      <c r="N44" s="215">
        <v>35290</v>
      </c>
      <c r="O44" s="213"/>
      <c r="P44" s="213"/>
      <c r="Q44" s="213"/>
      <c r="R44" s="214" t="s">
        <v>302</v>
      </c>
      <c r="S44" s="213"/>
      <c r="T44" s="213" t="s">
        <v>316</v>
      </c>
      <c r="U44" s="238" t="s">
        <v>319</v>
      </c>
      <c r="V44" s="213"/>
      <c r="W44" s="213"/>
    </row>
    <row r="45" spans="1:23">
      <c r="A45" s="233"/>
      <c r="B45" s="213" t="s">
        <v>209</v>
      </c>
      <c r="C45" s="213" t="s">
        <v>210</v>
      </c>
      <c r="D45" s="214" t="s">
        <v>302</v>
      </c>
      <c r="E45" s="213" t="s">
        <v>302</v>
      </c>
      <c r="F45" s="213"/>
      <c r="G45" s="213" t="s">
        <v>303</v>
      </c>
      <c r="H45" s="213"/>
      <c r="I45" s="213" t="s">
        <v>213</v>
      </c>
      <c r="J45" s="213"/>
      <c r="K45" s="213">
        <v>85000</v>
      </c>
      <c r="L45" s="213" t="s">
        <v>145</v>
      </c>
      <c r="M45" s="170">
        <v>2.3613977258562664</v>
      </c>
      <c r="N45" s="215">
        <v>3410</v>
      </c>
      <c r="O45" s="213"/>
      <c r="P45" s="213"/>
      <c r="Q45" s="213"/>
      <c r="R45" s="214" t="s">
        <v>302</v>
      </c>
      <c r="S45" s="213"/>
      <c r="T45" s="213" t="s">
        <v>318</v>
      </c>
      <c r="U45" s="238" t="s">
        <v>319</v>
      </c>
      <c r="V45" s="213"/>
      <c r="W45" s="213"/>
    </row>
    <row r="46" spans="1:23">
      <c r="A46" s="233"/>
      <c r="B46" s="213" t="s">
        <v>209</v>
      </c>
      <c r="C46" s="213" t="s">
        <v>210</v>
      </c>
      <c r="D46" s="214" t="s">
        <v>320</v>
      </c>
      <c r="E46" s="213" t="s">
        <v>320</v>
      </c>
      <c r="F46" s="213"/>
      <c r="G46" s="213" t="s">
        <v>303</v>
      </c>
      <c r="H46" s="213"/>
      <c r="I46" s="213" t="s">
        <v>213</v>
      </c>
      <c r="J46" s="213"/>
      <c r="K46" s="213">
        <v>10302</v>
      </c>
      <c r="L46" s="213" t="s">
        <v>215</v>
      </c>
      <c r="M46" s="170">
        <v>-6038.2530084672626</v>
      </c>
      <c r="N46" s="215">
        <v>-8987780</v>
      </c>
      <c r="O46" s="213"/>
      <c r="P46" s="213"/>
      <c r="Q46" s="213"/>
      <c r="R46" s="214" t="s">
        <v>320</v>
      </c>
      <c r="S46" s="213"/>
      <c r="T46" s="213" t="s">
        <v>321</v>
      </c>
      <c r="U46" s="238" t="s">
        <v>322</v>
      </c>
      <c r="V46" s="213"/>
      <c r="W46" s="213"/>
    </row>
    <row r="47" spans="1:23">
      <c r="A47" s="233"/>
      <c r="B47" s="213" t="s">
        <v>209</v>
      </c>
      <c r="C47" s="213" t="s">
        <v>210</v>
      </c>
      <c r="D47" s="214" t="s">
        <v>320</v>
      </c>
      <c r="E47" s="213" t="s">
        <v>320</v>
      </c>
      <c r="F47" s="213"/>
      <c r="G47" s="213" t="s">
        <v>303</v>
      </c>
      <c r="H47" s="213"/>
      <c r="I47" s="213" t="s">
        <v>213</v>
      </c>
      <c r="J47" s="213"/>
      <c r="K47" s="213">
        <v>85000</v>
      </c>
      <c r="L47" s="213" t="s">
        <v>145</v>
      </c>
      <c r="M47" s="170">
        <v>6038.2530084672626</v>
      </c>
      <c r="N47" s="215">
        <v>8987780</v>
      </c>
      <c r="O47" s="213"/>
      <c r="P47" s="213"/>
      <c r="Q47" s="213"/>
      <c r="R47" s="214" t="s">
        <v>320</v>
      </c>
      <c r="S47" s="213"/>
      <c r="T47" s="213" t="s">
        <v>316</v>
      </c>
      <c r="U47" s="238" t="s">
        <v>323</v>
      </c>
      <c r="V47" s="213"/>
      <c r="W47" s="213"/>
    </row>
    <row r="48" spans="1:23">
      <c r="A48" s="233"/>
      <c r="B48" s="213" t="s">
        <v>209</v>
      </c>
      <c r="C48" s="213" t="s">
        <v>210</v>
      </c>
      <c r="D48" s="214" t="s">
        <v>320</v>
      </c>
      <c r="E48" s="213" t="s">
        <v>320</v>
      </c>
      <c r="F48" s="213"/>
      <c r="G48" s="213" t="s">
        <v>303</v>
      </c>
      <c r="H48" s="213"/>
      <c r="I48" s="213" t="s">
        <v>213</v>
      </c>
      <c r="J48" s="213"/>
      <c r="K48" s="213">
        <v>10302</v>
      </c>
      <c r="L48" s="213" t="s">
        <v>215</v>
      </c>
      <c r="M48" s="170">
        <v>-603.90054571664393</v>
      </c>
      <c r="N48" s="215">
        <v>-898890</v>
      </c>
      <c r="O48" s="213"/>
      <c r="P48" s="213"/>
      <c r="Q48" s="213"/>
      <c r="R48" s="214" t="s">
        <v>320</v>
      </c>
      <c r="S48" s="213"/>
      <c r="T48" s="213" t="s">
        <v>324</v>
      </c>
      <c r="U48" s="238" t="s">
        <v>325</v>
      </c>
      <c r="V48" s="213"/>
      <c r="W48" s="213"/>
    </row>
    <row r="49" spans="1:23" ht="18" thickBot="1">
      <c r="A49" s="234"/>
      <c r="B49" s="113" t="s">
        <v>209</v>
      </c>
      <c r="C49" s="113" t="s">
        <v>210</v>
      </c>
      <c r="D49" s="114" t="s">
        <v>320</v>
      </c>
      <c r="E49" s="113" t="s">
        <v>320</v>
      </c>
      <c r="F49" s="113"/>
      <c r="G49" s="113" t="s">
        <v>303</v>
      </c>
      <c r="H49" s="113"/>
      <c r="I49" s="113" t="s">
        <v>213</v>
      </c>
      <c r="J49" s="113"/>
      <c r="K49" s="113">
        <v>85000</v>
      </c>
      <c r="L49" s="113" t="s">
        <v>145</v>
      </c>
      <c r="M49" s="115">
        <v>603.90054571664393</v>
      </c>
      <c r="N49" s="235">
        <v>898890</v>
      </c>
      <c r="O49" s="113"/>
      <c r="P49" s="113"/>
      <c r="Q49" s="113"/>
      <c r="R49" s="114" t="s">
        <v>320</v>
      </c>
      <c r="S49" s="113"/>
      <c r="T49" s="113" t="s">
        <v>318</v>
      </c>
      <c r="U49" s="239" t="s">
        <v>325</v>
      </c>
      <c r="V49" s="113"/>
      <c r="W49" s="113"/>
    </row>
    <row r="50" spans="1:23" s="144" customFormat="1" ht="13.2">
      <c r="A50" s="231">
        <v>4</v>
      </c>
      <c r="B50" s="165" t="s">
        <v>209</v>
      </c>
      <c r="C50" s="165" t="s">
        <v>210</v>
      </c>
      <c r="D50" s="166" t="s">
        <v>271</v>
      </c>
      <c r="E50" s="165" t="s">
        <v>271</v>
      </c>
      <c r="F50" s="165"/>
      <c r="G50" s="165" t="s">
        <v>303</v>
      </c>
      <c r="H50" s="165"/>
      <c r="I50" s="165" t="s">
        <v>213</v>
      </c>
      <c r="J50" s="165"/>
      <c r="K50" s="165">
        <v>13500</v>
      </c>
      <c r="L50" s="165" t="s">
        <v>225</v>
      </c>
      <c r="M50" s="167">
        <v>770.52823289891001</v>
      </c>
      <c r="N50" s="232">
        <v>1112689</v>
      </c>
      <c r="O50" s="165"/>
      <c r="P50" s="165"/>
      <c r="Q50" s="165"/>
      <c r="R50" s="166" t="s">
        <v>271</v>
      </c>
      <c r="S50" s="165"/>
      <c r="T50" s="165" t="s">
        <v>326</v>
      </c>
      <c r="U50" s="237" t="s">
        <v>327</v>
      </c>
    </row>
    <row r="51" spans="1:23" s="144" customFormat="1" ht="13.2">
      <c r="A51" s="233"/>
      <c r="B51" s="213" t="s">
        <v>209</v>
      </c>
      <c r="C51" s="213" t="s">
        <v>210</v>
      </c>
      <c r="D51" s="214" t="s">
        <v>271</v>
      </c>
      <c r="E51" s="213" t="s">
        <v>271</v>
      </c>
      <c r="F51" s="213"/>
      <c r="G51" s="213" t="s">
        <v>303</v>
      </c>
      <c r="H51" s="213"/>
      <c r="I51" s="213" t="s">
        <v>213</v>
      </c>
      <c r="J51" s="213"/>
      <c r="K51" s="213">
        <v>81900</v>
      </c>
      <c r="L51" s="213" t="s">
        <v>293</v>
      </c>
      <c r="M51" s="170">
        <v>7705.2823289891003</v>
      </c>
      <c r="N51" s="215">
        <v>11126890</v>
      </c>
      <c r="O51" s="213"/>
      <c r="P51" s="213"/>
      <c r="Q51" s="213"/>
      <c r="R51" s="214" t="s">
        <v>271</v>
      </c>
      <c r="S51" s="213"/>
      <c r="T51" s="213" t="s">
        <v>328</v>
      </c>
      <c r="U51" s="238" t="s">
        <v>327</v>
      </c>
    </row>
    <row r="52" spans="1:23" s="144" customFormat="1" ht="13.2">
      <c r="A52" s="233"/>
      <c r="B52" s="213" t="s">
        <v>209</v>
      </c>
      <c r="C52" s="213" t="s">
        <v>210</v>
      </c>
      <c r="D52" s="214" t="s">
        <v>271</v>
      </c>
      <c r="E52" s="213" t="s">
        <v>271</v>
      </c>
      <c r="F52" s="213"/>
      <c r="G52" s="213" t="s">
        <v>303</v>
      </c>
      <c r="H52" s="213"/>
      <c r="I52" s="213" t="s">
        <v>213</v>
      </c>
      <c r="J52" s="213"/>
      <c r="K52" s="213">
        <v>25300</v>
      </c>
      <c r="L52" s="213" t="s">
        <v>219</v>
      </c>
      <c r="M52" s="170">
        <v>-8475.8105618880109</v>
      </c>
      <c r="N52" s="215">
        <v>-12239579</v>
      </c>
      <c r="O52" s="213"/>
      <c r="P52" s="213"/>
      <c r="Q52" s="213"/>
      <c r="R52" s="214" t="s">
        <v>271</v>
      </c>
      <c r="S52" s="213"/>
      <c r="T52" s="213" t="s">
        <v>328</v>
      </c>
      <c r="U52" s="238" t="s">
        <v>327</v>
      </c>
    </row>
    <row r="53" spans="1:23" s="144" customFormat="1" ht="13.2">
      <c r="A53" s="233"/>
      <c r="B53" s="213" t="s">
        <v>209</v>
      </c>
      <c r="C53" s="213" t="s">
        <v>210</v>
      </c>
      <c r="D53" s="214" t="s">
        <v>271</v>
      </c>
      <c r="E53" s="213" t="s">
        <v>271</v>
      </c>
      <c r="F53" s="213"/>
      <c r="G53" s="213" t="s">
        <v>303</v>
      </c>
      <c r="H53" s="213"/>
      <c r="I53" s="213" t="s">
        <v>213</v>
      </c>
      <c r="J53" s="213"/>
      <c r="K53" s="213">
        <v>13500</v>
      </c>
      <c r="L53" s="213" t="s">
        <v>225</v>
      </c>
      <c r="M53" s="170">
        <v>1739.498358793956</v>
      </c>
      <c r="N53" s="215">
        <v>2511940</v>
      </c>
      <c r="O53" s="213"/>
      <c r="P53" s="213"/>
      <c r="Q53" s="213"/>
      <c r="R53" s="214" t="s">
        <v>271</v>
      </c>
      <c r="S53" s="213"/>
      <c r="T53" s="213" t="s">
        <v>326</v>
      </c>
      <c r="U53" s="238" t="s">
        <v>329</v>
      </c>
    </row>
    <row r="54" spans="1:23" s="144" customFormat="1" ht="13.2">
      <c r="A54" s="233"/>
      <c r="B54" s="213" t="s">
        <v>209</v>
      </c>
      <c r="C54" s="213" t="s">
        <v>210</v>
      </c>
      <c r="D54" s="214" t="s">
        <v>271</v>
      </c>
      <c r="E54" s="213" t="s">
        <v>271</v>
      </c>
      <c r="F54" s="213"/>
      <c r="G54" s="213" t="s">
        <v>303</v>
      </c>
      <c r="H54" s="213"/>
      <c r="I54" s="213" t="s">
        <v>213</v>
      </c>
      <c r="J54" s="213"/>
      <c r="K54" s="213">
        <v>81900</v>
      </c>
      <c r="L54" s="213" t="s">
        <v>293</v>
      </c>
      <c r="M54" s="170">
        <v>17394.983587939561</v>
      </c>
      <c r="N54" s="215">
        <v>25119400</v>
      </c>
      <c r="O54" s="213"/>
      <c r="P54" s="213"/>
      <c r="Q54" s="213"/>
      <c r="R54" s="214" t="s">
        <v>271</v>
      </c>
      <c r="S54" s="213"/>
      <c r="T54" s="213" t="s">
        <v>330</v>
      </c>
      <c r="U54" s="238" t="s">
        <v>329</v>
      </c>
    </row>
    <row r="55" spans="1:23" s="144" customFormat="1" ht="13.8" thickBot="1">
      <c r="A55" s="234"/>
      <c r="B55" s="113" t="s">
        <v>209</v>
      </c>
      <c r="C55" s="113" t="s">
        <v>210</v>
      </c>
      <c r="D55" s="114" t="s">
        <v>271</v>
      </c>
      <c r="E55" s="113" t="s">
        <v>271</v>
      </c>
      <c r="F55" s="113"/>
      <c r="G55" s="113" t="s">
        <v>303</v>
      </c>
      <c r="H55" s="113"/>
      <c r="I55" s="113" t="s">
        <v>213</v>
      </c>
      <c r="J55" s="113"/>
      <c r="K55" s="113">
        <v>25300</v>
      </c>
      <c r="L55" s="113" t="s">
        <v>219</v>
      </c>
      <c r="M55" s="115">
        <v>-19134.481946733515</v>
      </c>
      <c r="N55" s="235">
        <v>-27631340</v>
      </c>
      <c r="O55" s="113"/>
      <c r="P55" s="113"/>
      <c r="Q55" s="113"/>
      <c r="R55" s="114" t="s">
        <v>271</v>
      </c>
      <c r="S55" s="113"/>
      <c r="T55" s="113" t="s">
        <v>330</v>
      </c>
      <c r="U55" s="239" t="s">
        <v>329</v>
      </c>
      <c r="V55" s="113"/>
      <c r="W55" s="113"/>
    </row>
    <row r="56" spans="1:23" s="144" customFormat="1" ht="13.2">
      <c r="A56" s="231">
        <v>5</v>
      </c>
      <c r="B56" s="165" t="s">
        <v>209</v>
      </c>
      <c r="C56" s="165" t="s">
        <v>210</v>
      </c>
      <c r="D56" s="166" t="s">
        <v>302</v>
      </c>
      <c r="E56" s="165" t="s">
        <v>302</v>
      </c>
      <c r="F56" s="165"/>
      <c r="G56" s="165" t="s">
        <v>303</v>
      </c>
      <c r="H56" s="165"/>
      <c r="I56" s="165" t="s">
        <v>213</v>
      </c>
      <c r="J56" s="165"/>
      <c r="K56" s="165">
        <v>13300</v>
      </c>
      <c r="L56" s="165" t="s">
        <v>273</v>
      </c>
      <c r="M56" s="167">
        <v>-6.9590598356248563</v>
      </c>
      <c r="N56" s="232">
        <v>-9966</v>
      </c>
      <c r="O56" s="165"/>
      <c r="P56" s="165"/>
      <c r="Q56" s="165"/>
      <c r="R56" s="166" t="s">
        <v>302</v>
      </c>
      <c r="S56" s="165"/>
      <c r="T56" s="165" t="s">
        <v>331</v>
      </c>
      <c r="U56" s="237" t="s">
        <v>332</v>
      </c>
      <c r="V56" s="165"/>
      <c r="W56" s="165"/>
    </row>
    <row r="57" spans="1:23" s="144" customFormat="1" ht="13.2">
      <c r="A57" s="233"/>
      <c r="B57" s="213" t="s">
        <v>209</v>
      </c>
      <c r="C57" s="213" t="s">
        <v>210</v>
      </c>
      <c r="D57" s="214" t="s">
        <v>302</v>
      </c>
      <c r="E57" s="213" t="s">
        <v>302</v>
      </c>
      <c r="F57" s="213"/>
      <c r="G57" s="213" t="s">
        <v>303</v>
      </c>
      <c r="H57" s="213"/>
      <c r="I57" s="213" t="s">
        <v>213</v>
      </c>
      <c r="J57" s="213"/>
      <c r="K57" s="213">
        <v>82100</v>
      </c>
      <c r="L57" s="213" t="s">
        <v>128</v>
      </c>
      <c r="M57" s="170">
        <v>6.9590598356248563</v>
      </c>
      <c r="N57" s="215">
        <v>9966</v>
      </c>
      <c r="O57" s="213"/>
      <c r="P57" s="213"/>
      <c r="Q57" s="213"/>
      <c r="R57" s="214" t="s">
        <v>302</v>
      </c>
      <c r="S57" s="213"/>
      <c r="T57" s="213" t="s">
        <v>331</v>
      </c>
      <c r="U57" s="238" t="s">
        <v>332</v>
      </c>
      <c r="V57" s="213"/>
      <c r="W57" s="213"/>
    </row>
    <row r="58" spans="1:23" s="144" customFormat="1" ht="13.2">
      <c r="A58" s="233"/>
      <c r="B58" s="213" t="s">
        <v>209</v>
      </c>
      <c r="C58" s="213" t="s">
        <v>210</v>
      </c>
      <c r="D58" s="214" t="s">
        <v>302</v>
      </c>
      <c r="E58" s="213" t="s">
        <v>302</v>
      </c>
      <c r="F58" s="213"/>
      <c r="G58" s="213" t="s">
        <v>303</v>
      </c>
      <c r="H58" s="213"/>
      <c r="I58" s="213" t="s">
        <v>213</v>
      </c>
      <c r="J58" s="213"/>
      <c r="K58" s="213">
        <v>13300</v>
      </c>
      <c r="L58" s="213" t="s">
        <v>273</v>
      </c>
      <c r="M58" s="170">
        <v>-195.19895295209341</v>
      </c>
      <c r="N58" s="215">
        <v>-281879</v>
      </c>
      <c r="O58" s="213"/>
      <c r="P58" s="213"/>
      <c r="Q58" s="213"/>
      <c r="R58" s="214" t="s">
        <v>302</v>
      </c>
      <c r="S58" s="213"/>
      <c r="T58" s="213" t="s">
        <v>333</v>
      </c>
      <c r="U58" s="238" t="s">
        <v>334</v>
      </c>
      <c r="V58" s="213"/>
      <c r="W58" s="213"/>
    </row>
    <row r="59" spans="1:23" s="144" customFormat="1" ht="13.2">
      <c r="A59" s="233"/>
      <c r="B59" s="213" t="s">
        <v>209</v>
      </c>
      <c r="C59" s="213" t="s">
        <v>210</v>
      </c>
      <c r="D59" s="214" t="s">
        <v>302</v>
      </c>
      <c r="E59" s="213" t="s">
        <v>302</v>
      </c>
      <c r="F59" s="213"/>
      <c r="G59" s="213" t="s">
        <v>303</v>
      </c>
      <c r="H59" s="213"/>
      <c r="I59" s="213" t="s">
        <v>213</v>
      </c>
      <c r="J59" s="213"/>
      <c r="K59" s="213">
        <v>82100</v>
      </c>
      <c r="L59" s="213" t="s">
        <v>128</v>
      </c>
      <c r="M59" s="170">
        <v>195.19895295209341</v>
      </c>
      <c r="N59" s="215">
        <v>281879</v>
      </c>
      <c r="O59" s="213"/>
      <c r="P59" s="213"/>
      <c r="Q59" s="213"/>
      <c r="R59" s="214" t="s">
        <v>302</v>
      </c>
      <c r="S59" s="213"/>
      <c r="T59" s="213" t="s">
        <v>333</v>
      </c>
      <c r="U59" s="238" t="s">
        <v>334</v>
      </c>
      <c r="V59" s="213"/>
      <c r="W59" s="213"/>
    </row>
    <row r="60" spans="1:23" s="144" customFormat="1" ht="13.2">
      <c r="A60" s="233"/>
      <c r="B60" s="213" t="s">
        <v>209</v>
      </c>
      <c r="C60" s="213" t="s">
        <v>210</v>
      </c>
      <c r="D60" s="214" t="s">
        <v>302</v>
      </c>
      <c r="E60" s="213" t="s">
        <v>302</v>
      </c>
      <c r="F60" s="213"/>
      <c r="G60" s="213" t="s">
        <v>303</v>
      </c>
      <c r="H60" s="213"/>
      <c r="I60" s="213" t="s">
        <v>213</v>
      </c>
      <c r="J60" s="213"/>
      <c r="K60" s="213">
        <v>13300</v>
      </c>
      <c r="L60" s="213" t="s">
        <v>273</v>
      </c>
      <c r="M60" s="170">
        <v>-156.1590238632744</v>
      </c>
      <c r="N60" s="215">
        <v>-225503</v>
      </c>
      <c r="O60" s="213"/>
      <c r="P60" s="213"/>
      <c r="Q60" s="213"/>
      <c r="R60" s="214" t="s">
        <v>302</v>
      </c>
      <c r="S60" s="213"/>
      <c r="T60" s="213" t="s">
        <v>335</v>
      </c>
      <c r="U60" s="238" t="s">
        <v>336</v>
      </c>
      <c r="V60" s="213"/>
      <c r="W60" s="213"/>
    </row>
    <row r="61" spans="1:23" s="144" customFormat="1" ht="13.8" thickBot="1">
      <c r="A61" s="234"/>
      <c r="B61" s="113" t="s">
        <v>209</v>
      </c>
      <c r="C61" s="113" t="s">
        <v>210</v>
      </c>
      <c r="D61" s="114" t="s">
        <v>302</v>
      </c>
      <c r="E61" s="113" t="s">
        <v>302</v>
      </c>
      <c r="F61" s="113"/>
      <c r="G61" s="113" t="s">
        <v>303</v>
      </c>
      <c r="H61" s="113"/>
      <c r="I61" s="113" t="s">
        <v>213</v>
      </c>
      <c r="J61" s="113"/>
      <c r="K61" s="113">
        <v>82100</v>
      </c>
      <c r="L61" s="113" t="s">
        <v>128</v>
      </c>
      <c r="M61" s="115">
        <v>156.1590238632744</v>
      </c>
      <c r="N61" s="235">
        <v>225503</v>
      </c>
      <c r="O61" s="113"/>
      <c r="P61" s="113"/>
      <c r="Q61" s="113"/>
      <c r="R61" s="114" t="s">
        <v>302</v>
      </c>
      <c r="S61" s="113"/>
      <c r="T61" s="113" t="s">
        <v>335</v>
      </c>
      <c r="U61" s="239" t="s">
        <v>336</v>
      </c>
      <c r="V61" s="113"/>
      <c r="W61" s="113"/>
    </row>
    <row r="62" spans="1:23">
      <c r="A62" s="231">
        <v>6</v>
      </c>
      <c r="B62" s="165" t="s">
        <v>209</v>
      </c>
      <c r="C62" s="165" t="s">
        <v>210</v>
      </c>
      <c r="D62" s="166" t="s">
        <v>271</v>
      </c>
      <c r="E62" s="165" t="s">
        <v>271</v>
      </c>
      <c r="F62" s="165"/>
      <c r="G62" s="165" t="s">
        <v>303</v>
      </c>
      <c r="H62" s="165"/>
      <c r="I62" s="165" t="s">
        <v>213</v>
      </c>
      <c r="J62" s="165"/>
      <c r="K62" s="165">
        <v>13500</v>
      </c>
      <c r="L62" s="165" t="s">
        <v>225</v>
      </c>
      <c r="M62" s="167">
        <v>2.7316718921296848</v>
      </c>
      <c r="N62" s="232">
        <v>3912</v>
      </c>
      <c r="O62" s="165"/>
      <c r="P62" s="165"/>
      <c r="Q62" s="165"/>
      <c r="R62" s="166" t="s">
        <v>271</v>
      </c>
      <c r="S62" s="165"/>
      <c r="T62" s="165" t="s">
        <v>326</v>
      </c>
      <c r="U62" s="165" t="s">
        <v>337</v>
      </c>
      <c r="V62" s="165"/>
      <c r="W62" s="165"/>
    </row>
    <row r="63" spans="1:23">
      <c r="A63" s="233"/>
      <c r="B63" s="213" t="s">
        <v>209</v>
      </c>
      <c r="C63" s="213" t="s">
        <v>210</v>
      </c>
      <c r="D63" s="214" t="s">
        <v>271</v>
      </c>
      <c r="E63" s="213" t="s">
        <v>271</v>
      </c>
      <c r="F63" s="213"/>
      <c r="G63" s="213" t="s">
        <v>303</v>
      </c>
      <c r="H63" s="213"/>
      <c r="I63" s="213" t="s">
        <v>213</v>
      </c>
      <c r="J63" s="213"/>
      <c r="K63" s="213">
        <v>81600</v>
      </c>
      <c r="L63" s="213" t="s">
        <v>124</v>
      </c>
      <c r="M63" s="170">
        <v>27.316718921296847</v>
      </c>
      <c r="N63" s="215">
        <v>39120</v>
      </c>
      <c r="O63" s="213"/>
      <c r="P63" s="213"/>
      <c r="Q63" s="213"/>
      <c r="R63" s="214" t="s">
        <v>271</v>
      </c>
      <c r="S63" s="213"/>
      <c r="T63" s="213" t="s">
        <v>338</v>
      </c>
      <c r="U63" s="213" t="s">
        <v>339</v>
      </c>
      <c r="V63" s="213"/>
      <c r="W63" s="213"/>
    </row>
    <row r="64" spans="1:23" ht="18" thickBot="1">
      <c r="A64" s="234"/>
      <c r="B64" s="113" t="s">
        <v>209</v>
      </c>
      <c r="C64" s="113" t="s">
        <v>210</v>
      </c>
      <c r="D64" s="114" t="s">
        <v>271</v>
      </c>
      <c r="E64" s="113" t="s">
        <v>271</v>
      </c>
      <c r="F64" s="113"/>
      <c r="G64" s="113" t="s">
        <v>303</v>
      </c>
      <c r="H64" s="113"/>
      <c r="I64" s="113" t="s">
        <v>213</v>
      </c>
      <c r="J64" s="113"/>
      <c r="K64" s="113">
        <v>25300</v>
      </c>
      <c r="L64" s="113" t="s">
        <v>219</v>
      </c>
      <c r="M64" s="115">
        <v>-30.048390813426533</v>
      </c>
      <c r="N64" s="235">
        <v>-43032</v>
      </c>
      <c r="O64" s="113"/>
      <c r="P64" s="113"/>
      <c r="Q64" s="113"/>
      <c r="R64" s="114" t="s">
        <v>271</v>
      </c>
      <c r="S64" s="113"/>
      <c r="T64" s="113" t="s">
        <v>338</v>
      </c>
      <c r="U64" s="113" t="s">
        <v>337</v>
      </c>
      <c r="V64" s="113"/>
      <c r="W64" s="113"/>
    </row>
    <row r="67" spans="2:4">
      <c r="B67" s="202" t="s">
        <v>35</v>
      </c>
      <c r="C67" s="207">
        <f>F9</f>
        <v>103.31410300932293</v>
      </c>
    </row>
    <row r="68" spans="2:4">
      <c r="B68" s="202" t="s">
        <v>45</v>
      </c>
      <c r="C68" s="207">
        <f>F14</f>
        <v>1.0307873825349247</v>
      </c>
    </row>
    <row r="69" spans="2:4">
      <c r="B69" s="202" t="s">
        <v>49</v>
      </c>
      <c r="C69" s="207">
        <f>F16</f>
        <v>748.95058288444488</v>
      </c>
    </row>
    <row r="70" spans="2:4">
      <c r="B70" s="202" t="s">
        <v>68</v>
      </c>
      <c r="C70" s="207">
        <f>F18</f>
        <v>10.74755338975109</v>
      </c>
    </row>
    <row r="71" spans="2:4">
      <c r="B71" s="202" t="s">
        <v>151</v>
      </c>
      <c r="C71" s="207">
        <f>F21</f>
        <v>0.79979394865677023</v>
      </c>
    </row>
    <row r="72" spans="2:4">
      <c r="B72" s="202" t="s">
        <v>59</v>
      </c>
      <c r="C72" s="207">
        <f>F23</f>
        <v>2.1160765986606762</v>
      </c>
    </row>
    <row r="73" spans="2:4">
      <c r="B73" s="202" t="s">
        <v>247</v>
      </c>
      <c r="C73" s="207">
        <f>SUM(C67:C72)</f>
        <v>866.95889721337142</v>
      </c>
      <c r="D73" s="240" t="s">
        <v>344</v>
      </c>
    </row>
    <row r="74" spans="2:4">
      <c r="C74" s="207">
        <f>C73*0.06</f>
        <v>52.017533832802286</v>
      </c>
      <c r="D74" s="52" t="s">
        <v>246</v>
      </c>
    </row>
    <row r="75" spans="2:4">
      <c r="C75" s="207">
        <f>C73+C74</f>
        <v>918.97643104617373</v>
      </c>
      <c r="D75" s="202" t="s">
        <v>247</v>
      </c>
    </row>
    <row r="76" spans="2:4">
      <c r="C76" s="133" t="s">
        <v>340</v>
      </c>
    </row>
  </sheetData>
  <mergeCells count="6">
    <mergeCell ref="A62:A64"/>
    <mergeCell ref="A36:A37"/>
    <mergeCell ref="A38:A41"/>
    <mergeCell ref="A42:A49"/>
    <mergeCell ref="A50:A55"/>
    <mergeCell ref="A56:A6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DCE5-2EE6-4C14-B3EF-C30CFEFFB5AA}">
  <sheetPr>
    <tabColor rgb="FFFFFF00"/>
  </sheetPr>
  <dimension ref="A1:W74"/>
  <sheetViews>
    <sheetView topLeftCell="A52" zoomScaleNormal="100" workbookViewId="0">
      <selection activeCell="E71" sqref="E71"/>
    </sheetView>
  </sheetViews>
  <sheetFormatPr defaultColWidth="9.6640625" defaultRowHeight="17.399999999999999"/>
  <cols>
    <col min="1" max="1" width="32.6640625" style="202" bestFit="1" customWidth="1"/>
    <col min="2" max="2" width="32.5546875" style="202" bestFit="1" customWidth="1"/>
    <col min="3" max="3" width="32.5546875" style="202" customWidth="1"/>
    <col min="4" max="5" width="20.33203125" style="202" bestFit="1" customWidth="1"/>
    <col min="6" max="6" width="16.33203125" style="202" customWidth="1"/>
    <col min="7" max="7" width="18.44140625" style="202" bestFit="1" customWidth="1"/>
    <col min="8" max="12" width="9.6640625" style="202"/>
    <col min="13" max="13" width="29.88671875" style="202" bestFit="1" customWidth="1"/>
    <col min="14" max="14" width="30" style="202" bestFit="1" customWidth="1"/>
    <col min="15" max="16384" width="9.6640625" style="202"/>
  </cols>
  <sheetData>
    <row r="1" spans="1:7" ht="19.2">
      <c r="A1" s="201" t="s">
        <v>112</v>
      </c>
    </row>
    <row r="2" spans="1:7" ht="19.2">
      <c r="A2" s="201" t="s">
        <v>113</v>
      </c>
    </row>
    <row r="3" spans="1:7" ht="19.2">
      <c r="A3" s="201" t="s">
        <v>147</v>
      </c>
    </row>
    <row r="5" spans="1:7">
      <c r="A5" s="202" t="s">
        <v>152</v>
      </c>
      <c r="D5" s="203">
        <v>1485.7593999999999</v>
      </c>
    </row>
    <row r="6" spans="1:7" ht="15" customHeight="1">
      <c r="A6" s="204" t="s">
        <v>115</v>
      </c>
      <c r="B6" s="204" t="s">
        <v>116</v>
      </c>
      <c r="C6" s="204"/>
      <c r="D6" s="68" t="s">
        <v>117</v>
      </c>
      <c r="E6" s="68" t="s">
        <v>149</v>
      </c>
    </row>
    <row r="7" spans="1:7">
      <c r="A7" s="81" t="s">
        <v>33</v>
      </c>
      <c r="B7" s="82" t="s">
        <v>118</v>
      </c>
      <c r="C7" s="82" t="s">
        <v>154</v>
      </c>
      <c r="D7" s="83">
        <v>56896.699610897958</v>
      </c>
      <c r="E7" s="83">
        <f>_xlfn.XLOOKUP(A7,'Jan–Apr 2026 Summary'!B:B,'Jan–Apr 2026 Summary'!K:K)</f>
        <v>56896.698079110254</v>
      </c>
      <c r="F7" s="84">
        <f>D7-E7</f>
        <v>1.5317877041525207E-3</v>
      </c>
    </row>
    <row r="8" spans="1:7">
      <c r="A8" s="81" t="s">
        <v>150</v>
      </c>
      <c r="B8" s="82" t="s">
        <v>142</v>
      </c>
      <c r="C8" s="82" t="s">
        <v>171</v>
      </c>
      <c r="D8" s="83">
        <v>0</v>
      </c>
      <c r="E8" s="83">
        <v>0</v>
      </c>
      <c r="F8" s="84">
        <f t="shared" ref="F8:F28" si="0">D8-E8</f>
        <v>0</v>
      </c>
    </row>
    <row r="9" spans="1:7">
      <c r="A9" s="205" t="s">
        <v>35</v>
      </c>
      <c r="B9" s="206" t="s">
        <v>119</v>
      </c>
      <c r="C9" s="206" t="s">
        <v>155</v>
      </c>
      <c r="D9" s="69">
        <v>5322.7774951446881</v>
      </c>
      <c r="E9" s="69">
        <f>_xlfn.XLOOKUP(A9,'Jan–Apr 2026 Summary'!B:B,'Jan–Apr 2026 Summary'!K:K)</f>
        <v>5223.0468809418271</v>
      </c>
      <c r="F9" s="216">
        <f t="shared" si="0"/>
        <v>99.730614202861034</v>
      </c>
    </row>
    <row r="10" spans="1:7">
      <c r="A10" s="205" t="s">
        <v>153</v>
      </c>
      <c r="B10" s="206" t="s">
        <v>146</v>
      </c>
      <c r="C10" s="206" t="s">
        <v>173</v>
      </c>
      <c r="D10" s="69">
        <v>218972.67939809579</v>
      </c>
      <c r="E10" s="69">
        <v>218971.80997138569</v>
      </c>
      <c r="F10" s="216">
        <f t="shared" si="0"/>
        <v>0.86942671009455808</v>
      </c>
      <c r="G10" s="262" t="s">
        <v>355</v>
      </c>
    </row>
    <row r="11" spans="1:7">
      <c r="A11" s="205" t="s">
        <v>70</v>
      </c>
      <c r="B11" s="206" t="s">
        <v>120</v>
      </c>
      <c r="C11" s="206" t="s">
        <v>156</v>
      </c>
      <c r="D11" s="69">
        <v>2614.9912797952938</v>
      </c>
      <c r="E11" s="69">
        <f>_xlfn.XLOOKUP(A11,'Jan–Apr 2026 Summary'!B:B,'Jan–Apr 2026 Summary'!K:K)</f>
        <v>2600.8450628008818</v>
      </c>
      <c r="F11" s="216">
        <f t="shared" si="0"/>
        <v>14.146216994412043</v>
      </c>
    </row>
    <row r="12" spans="1:7">
      <c r="A12" s="81" t="s">
        <v>37</v>
      </c>
      <c r="B12" s="82" t="s">
        <v>121</v>
      </c>
      <c r="C12" s="82" t="s">
        <v>39</v>
      </c>
      <c r="D12" s="83">
        <v>681.84662151480575</v>
      </c>
      <c r="E12" s="83">
        <v>681.85</v>
      </c>
      <c r="F12" s="84">
        <f t="shared" si="0"/>
        <v>-3.3784851942755267E-3</v>
      </c>
    </row>
    <row r="13" spans="1:7">
      <c r="A13" s="81" t="s">
        <v>40</v>
      </c>
      <c r="B13" s="82" t="s">
        <v>122</v>
      </c>
      <c r="C13" s="82" t="s">
        <v>157</v>
      </c>
      <c r="D13" s="83">
        <v>0</v>
      </c>
      <c r="E13" s="83">
        <f>_xlfn.XLOOKUP(A13,'Jan–Apr 2026 Summary'!B:B,'Jan–Apr 2026 Summary'!K:K)</f>
        <v>0</v>
      </c>
      <c r="F13" s="84">
        <f t="shared" si="0"/>
        <v>0</v>
      </c>
    </row>
    <row r="14" spans="1:7">
      <c r="A14" s="81" t="s">
        <v>42</v>
      </c>
      <c r="B14" s="82" t="s">
        <v>123</v>
      </c>
      <c r="C14" s="82" t="s">
        <v>44</v>
      </c>
      <c r="D14" s="83">
        <v>111.81151165690788</v>
      </c>
      <c r="E14" s="83">
        <f>_xlfn.XLOOKUP(A14,'Jan–Apr 2026 Summary'!B:B,'Jan–Apr 2026 Summary'!K:K)</f>
        <v>111.81150864668938</v>
      </c>
      <c r="F14" s="84">
        <f t="shared" si="0"/>
        <v>3.0102185064606601E-6</v>
      </c>
    </row>
    <row r="15" spans="1:7">
      <c r="A15" s="81" t="s">
        <v>45</v>
      </c>
      <c r="B15" s="82" t="s">
        <v>124</v>
      </c>
      <c r="C15" s="82" t="s">
        <v>158</v>
      </c>
      <c r="D15" s="83">
        <v>45.954162116973791</v>
      </c>
      <c r="E15" s="83">
        <v>45.95</v>
      </c>
      <c r="F15" s="84">
        <f t="shared" si="0"/>
        <v>4.1621169737879882E-3</v>
      </c>
    </row>
    <row r="16" spans="1:7">
      <c r="A16" s="205" t="s">
        <v>47</v>
      </c>
      <c r="B16" s="206" t="s">
        <v>125</v>
      </c>
      <c r="C16" s="206" t="s">
        <v>159</v>
      </c>
      <c r="D16" s="69">
        <v>310.48769566560225</v>
      </c>
      <c r="E16" s="69">
        <f>_xlfn.XLOOKUP(A16,'Jan–Apr 2026 Summary'!B:B,'Jan–Apr 2026 Summary'!K:K)-19.31</f>
        <v>310.54084933670958</v>
      </c>
      <c r="F16" s="216">
        <f t="shared" si="0"/>
        <v>-5.3153671107338596E-2</v>
      </c>
    </row>
    <row r="17" spans="1:7">
      <c r="A17" s="205" t="s">
        <v>49</v>
      </c>
      <c r="B17" s="206" t="s">
        <v>126</v>
      </c>
      <c r="C17" s="206" t="s">
        <v>160</v>
      </c>
      <c r="D17" s="69">
        <v>25100.265916928664</v>
      </c>
      <c r="E17" s="69">
        <f>_xlfn.XLOOKUP(A17,'Jan–Apr 2026 Summary'!B:B,'Jan–Apr 2026 Summary'!K:K)</f>
        <v>24395.800558286894</v>
      </c>
      <c r="F17" s="216">
        <f t="shared" si="0"/>
        <v>704.46535864176985</v>
      </c>
    </row>
    <row r="18" spans="1:7">
      <c r="A18" s="81" t="s">
        <v>51</v>
      </c>
      <c r="B18" s="82" t="s">
        <v>127</v>
      </c>
      <c r="C18" s="82" t="s">
        <v>53</v>
      </c>
      <c r="D18" s="83">
        <v>33.591577037078196</v>
      </c>
      <c r="E18" s="83">
        <f>_xlfn.XLOOKUP(A18,'Jan–Apr 2026 Summary'!B:B,'Jan–Apr 2026 Summary'!K:K)</f>
        <v>33.591576132717051</v>
      </c>
      <c r="F18" s="84">
        <f t="shared" si="0"/>
        <v>9.0436114419389924E-7</v>
      </c>
    </row>
    <row r="19" spans="1:7">
      <c r="A19" s="205" t="s">
        <v>68</v>
      </c>
      <c r="B19" s="206" t="s">
        <v>128</v>
      </c>
      <c r="C19" s="206" t="s">
        <v>161</v>
      </c>
      <c r="D19" s="69">
        <v>358.31703665099269</v>
      </c>
      <c r="E19" s="69">
        <f>_xlfn.XLOOKUP(A19,'Jan–Apr 2026 Summary'!B:B,'Jan–Apr 2026 Summary'!K:K)</f>
        <v>348.20442663866038</v>
      </c>
      <c r="F19" s="216">
        <f t="shared" si="0"/>
        <v>10.112610012332311</v>
      </c>
    </row>
    <row r="20" spans="1:7">
      <c r="A20" s="81" t="s">
        <v>54</v>
      </c>
      <c r="B20" s="82" t="s">
        <v>129</v>
      </c>
      <c r="C20" s="82" t="s">
        <v>162</v>
      </c>
      <c r="D20" s="83">
        <v>3606.9098026749098</v>
      </c>
      <c r="E20" s="83">
        <f>_xlfn.XLOOKUP(A20,'Jan–Apr 2026 Summary'!B:B,'Jan–Apr 2026 Summary'!K:K)</f>
        <v>3606.9097055687484</v>
      </c>
      <c r="F20" s="84">
        <f t="shared" si="0"/>
        <v>9.7106161319970852E-5</v>
      </c>
    </row>
    <row r="21" spans="1:7">
      <c r="A21" s="81" t="s">
        <v>137</v>
      </c>
      <c r="B21" s="82" t="s">
        <v>130</v>
      </c>
      <c r="C21" s="82" t="s">
        <v>163</v>
      </c>
      <c r="D21" s="83">
        <v>888.43458472306042</v>
      </c>
      <c r="E21" s="83">
        <v>888.43</v>
      </c>
      <c r="F21" s="84">
        <f t="shared" si="0"/>
        <v>4.5847230604749711E-3</v>
      </c>
    </row>
    <row r="22" spans="1:7">
      <c r="A22" s="81" t="s">
        <v>151</v>
      </c>
      <c r="B22" s="249" t="s">
        <v>145</v>
      </c>
      <c r="C22" s="250" t="s">
        <v>172</v>
      </c>
      <c r="D22" s="83">
        <v>0</v>
      </c>
      <c r="E22" s="83">
        <v>0</v>
      </c>
      <c r="F22" s="84">
        <f t="shared" si="0"/>
        <v>0</v>
      </c>
    </row>
    <row r="23" spans="1:7">
      <c r="A23" s="81" t="s">
        <v>56</v>
      </c>
      <c r="B23" s="82" t="s">
        <v>131</v>
      </c>
      <c r="C23" s="82" t="s">
        <v>164</v>
      </c>
      <c r="D23" s="83">
        <v>0</v>
      </c>
      <c r="E23" s="83">
        <v>0</v>
      </c>
      <c r="F23" s="84">
        <f t="shared" si="0"/>
        <v>0</v>
      </c>
    </row>
    <row r="24" spans="1:7">
      <c r="A24" s="81" t="s">
        <v>59</v>
      </c>
      <c r="B24" s="82" t="s">
        <v>132</v>
      </c>
      <c r="C24" s="82" t="s">
        <v>165</v>
      </c>
      <c r="D24" s="83">
        <v>421.66989949166464</v>
      </c>
      <c r="E24" s="83">
        <v>421.67</v>
      </c>
      <c r="F24" s="84">
        <f t="shared" si="0"/>
        <v>-1.0050833537889048E-4</v>
      </c>
    </row>
    <row r="25" spans="1:7">
      <c r="A25" s="81" t="s">
        <v>61</v>
      </c>
      <c r="B25" s="82" t="s">
        <v>133</v>
      </c>
      <c r="C25" s="82" t="s">
        <v>166</v>
      </c>
      <c r="D25" s="83">
        <v>11096.413351890309</v>
      </c>
      <c r="E25" s="83">
        <v>11096.41</v>
      </c>
      <c r="F25" s="84">
        <f t="shared" si="0"/>
        <v>3.3518903092044638E-3</v>
      </c>
    </row>
    <row r="26" spans="1:7">
      <c r="A26" s="81" t="s">
        <v>65</v>
      </c>
      <c r="B26" s="82" t="s">
        <v>134</v>
      </c>
      <c r="C26" s="82" t="s">
        <v>167</v>
      </c>
      <c r="D26" s="83">
        <v>6.4613424343495298</v>
      </c>
      <c r="E26" s="83">
        <f>_xlfn.XLOOKUP(A26,'Jan–Apr 2026 Summary'!B:B,'Jan–Apr 2026 Summary'!K:K)</f>
        <v>6.4613422603955932</v>
      </c>
      <c r="F26" s="84">
        <f t="shared" si="0"/>
        <v>1.7395393658858893E-7</v>
      </c>
    </row>
    <row r="27" spans="1:7">
      <c r="A27" s="205" t="s">
        <v>63</v>
      </c>
      <c r="B27" s="206" t="s">
        <v>135</v>
      </c>
      <c r="C27" s="206" t="s">
        <v>168</v>
      </c>
      <c r="D27" s="69">
        <v>49514.29</v>
      </c>
      <c r="E27" s="69">
        <f>_xlfn.XLOOKUP(A27,'Jan–Apr 2026 Summary'!B:B,'Jan–Apr 2026 Summary'!K:K)</f>
        <v>53003.087175487504</v>
      </c>
      <c r="F27" s="216">
        <f t="shared" si="0"/>
        <v>-3488.7971754875034</v>
      </c>
      <c r="G27" s="262" t="s">
        <v>364</v>
      </c>
    </row>
    <row r="28" spans="1:7">
      <c r="A28" s="81" t="s">
        <v>138</v>
      </c>
      <c r="B28" s="82" t="s">
        <v>136</v>
      </c>
      <c r="C28" s="82" t="s">
        <v>169</v>
      </c>
      <c r="D28" s="83">
        <v>127.88073567983446</v>
      </c>
      <c r="E28" s="83">
        <v>127.88</v>
      </c>
      <c r="F28" s="84">
        <f t="shared" si="0"/>
        <v>7.3567983446309881E-4</v>
      </c>
    </row>
    <row r="29" spans="1:7">
      <c r="A29" s="210"/>
      <c r="B29" s="66" t="s">
        <v>106</v>
      </c>
      <c r="C29" s="66"/>
      <c r="D29" s="64">
        <f>SUM(D7:D28)</f>
        <v>376111.48202239885</v>
      </c>
      <c r="E29" s="64">
        <f>SUM(E7:E28)</f>
        <v>378770.99713659688</v>
      </c>
      <c r="F29" s="207">
        <f>D29-E29</f>
        <v>-2659.5151141980314</v>
      </c>
    </row>
    <row r="30" spans="1:7">
      <c r="B30" s="210" t="s">
        <v>107</v>
      </c>
      <c r="C30" s="210"/>
      <c r="D30" s="211">
        <f>D29*0.06</f>
        <v>22566.688921343932</v>
      </c>
      <c r="E30" s="211">
        <f>E29*0.06</f>
        <v>22726.259828195813</v>
      </c>
      <c r="F30" s="207">
        <f>D30-E30</f>
        <v>-159.57090685188086</v>
      </c>
    </row>
    <row r="32" spans="1:7" ht="18" thickBot="1">
      <c r="B32" s="61" t="s">
        <v>110</v>
      </c>
      <c r="C32" s="61"/>
      <c r="D32" s="62">
        <f>D29+D30</f>
        <v>398678.17094374279</v>
      </c>
      <c r="E32" s="62">
        <f>E29+E30</f>
        <v>401497.25696479267</v>
      </c>
      <c r="F32" s="207">
        <f>D32-E32</f>
        <v>-2819.0860210498795</v>
      </c>
    </row>
    <row r="33" spans="1:23" ht="18" thickTop="1">
      <c r="D33" s="212">
        <f>D32*$D$5</f>
        <v>592339840.05447268</v>
      </c>
      <c r="E33" s="212">
        <f>E32*$D$5</f>
        <v>596528323.6096561</v>
      </c>
    </row>
    <row r="34" spans="1:23" ht="18" thickBot="1"/>
    <row r="35" spans="1:23">
      <c r="A35" s="251" t="s">
        <v>174</v>
      </c>
      <c r="B35" s="251" t="s">
        <v>175</v>
      </c>
      <c r="C35" s="251" t="s">
        <v>176</v>
      </c>
      <c r="D35" s="252" t="s">
        <v>177</v>
      </c>
      <c r="E35" s="251" t="s">
        <v>178</v>
      </c>
      <c r="F35" s="251" t="s">
        <v>179</v>
      </c>
      <c r="G35" s="253" t="s">
        <v>180</v>
      </c>
      <c r="H35" s="251" t="s">
        <v>181</v>
      </c>
      <c r="I35" s="251" t="s">
        <v>182</v>
      </c>
      <c r="J35" s="251" t="s">
        <v>183</v>
      </c>
      <c r="K35" s="253" t="s">
        <v>184</v>
      </c>
      <c r="L35" s="251" t="s">
        <v>185</v>
      </c>
      <c r="M35" s="254" t="s">
        <v>186</v>
      </c>
      <c r="N35" s="251" t="s">
        <v>187</v>
      </c>
      <c r="O35" s="253" t="s">
        <v>188</v>
      </c>
      <c r="P35" s="251" t="s">
        <v>189</v>
      </c>
      <c r="Q35" s="251" t="s">
        <v>190</v>
      </c>
      <c r="R35" s="251" t="s">
        <v>191</v>
      </c>
      <c r="S35" s="253" t="s">
        <v>192</v>
      </c>
      <c r="T35" s="251" t="s">
        <v>193</v>
      </c>
      <c r="U35" s="251" t="s">
        <v>194</v>
      </c>
      <c r="V35" s="251" t="s">
        <v>195</v>
      </c>
      <c r="W35" s="253" t="s">
        <v>196</v>
      </c>
    </row>
    <row r="36" spans="1:23" ht="18" thickBot="1">
      <c r="A36" s="255" t="s">
        <v>197</v>
      </c>
      <c r="B36" s="255" t="s">
        <v>198</v>
      </c>
      <c r="C36" s="255" t="s">
        <v>199</v>
      </c>
      <c r="D36" s="256" t="s">
        <v>200</v>
      </c>
      <c r="E36" s="257" t="s">
        <v>200</v>
      </c>
      <c r="F36" s="255" t="s">
        <v>199</v>
      </c>
      <c r="G36" s="257" t="s">
        <v>201</v>
      </c>
      <c r="H36" s="255" t="s">
        <v>202</v>
      </c>
      <c r="I36" s="255" t="s">
        <v>203</v>
      </c>
      <c r="J36" s="255" t="s">
        <v>199</v>
      </c>
      <c r="K36" s="257"/>
      <c r="L36" s="255"/>
      <c r="M36" s="258"/>
      <c r="N36" s="255"/>
      <c r="O36" s="257"/>
      <c r="P36" s="255" t="s">
        <v>204</v>
      </c>
      <c r="Q36" s="255" t="s">
        <v>204</v>
      </c>
      <c r="R36" s="255" t="s">
        <v>202</v>
      </c>
      <c r="S36" s="257" t="s">
        <v>205</v>
      </c>
      <c r="T36" s="255" t="s">
        <v>206</v>
      </c>
      <c r="U36" s="255" t="s">
        <v>207</v>
      </c>
      <c r="V36" s="255" t="s">
        <v>207</v>
      </c>
      <c r="W36" s="257" t="s">
        <v>208</v>
      </c>
    </row>
    <row r="37" spans="1:23" ht="18" thickBot="1">
      <c r="A37" s="266">
        <v>1</v>
      </c>
      <c r="B37" s="267" t="s">
        <v>209</v>
      </c>
      <c r="C37" s="267" t="s">
        <v>210</v>
      </c>
      <c r="D37" s="268" t="s">
        <v>352</v>
      </c>
      <c r="E37" s="268" t="s">
        <v>352</v>
      </c>
      <c r="F37" s="267"/>
      <c r="G37" s="267" t="s">
        <v>351</v>
      </c>
      <c r="H37" s="267"/>
      <c r="I37" s="267" t="s">
        <v>213</v>
      </c>
      <c r="J37" s="267"/>
      <c r="K37" s="267">
        <v>81800</v>
      </c>
      <c r="L37" s="267" t="s">
        <v>146</v>
      </c>
      <c r="M37" s="269">
        <v>218972.67939809579</v>
      </c>
      <c r="N37" s="270">
        <v>325340708</v>
      </c>
      <c r="O37" s="267"/>
      <c r="P37" s="267"/>
      <c r="Q37" s="267"/>
      <c r="R37" s="268" t="s">
        <v>352</v>
      </c>
      <c r="S37" s="267"/>
      <c r="T37" s="267" t="s">
        <v>353</v>
      </c>
      <c r="U37" s="267" t="s">
        <v>354</v>
      </c>
      <c r="V37" s="267"/>
      <c r="W37" s="267"/>
    </row>
    <row r="38" spans="1:23" s="144" customFormat="1" ht="13.2">
      <c r="A38" s="231">
        <v>2</v>
      </c>
      <c r="B38" s="165" t="s">
        <v>209</v>
      </c>
      <c r="C38" s="165" t="s">
        <v>210</v>
      </c>
      <c r="D38" s="166" t="s">
        <v>356</v>
      </c>
      <c r="E38" s="166" t="s">
        <v>356</v>
      </c>
      <c r="F38" s="165"/>
      <c r="G38" s="165" t="s">
        <v>351</v>
      </c>
      <c r="H38" s="165"/>
      <c r="I38" s="165" t="s">
        <v>213</v>
      </c>
      <c r="J38" s="165"/>
      <c r="K38" s="165">
        <v>81101</v>
      </c>
      <c r="L38" s="165" t="s">
        <v>256</v>
      </c>
      <c r="M38" s="263">
        <v>1148.5774558814655</v>
      </c>
      <c r="N38" s="259">
        <v>1694870</v>
      </c>
      <c r="O38" s="165"/>
      <c r="P38" s="165"/>
      <c r="Q38" s="165"/>
      <c r="R38" s="166" t="s">
        <v>356</v>
      </c>
      <c r="S38" s="165"/>
      <c r="T38" s="165" t="s">
        <v>359</v>
      </c>
      <c r="U38" s="237" t="s">
        <v>358</v>
      </c>
      <c r="V38" s="165"/>
      <c r="W38" s="165"/>
    </row>
    <row r="39" spans="1:23" s="144" customFormat="1" ht="13.2">
      <c r="A39" s="233"/>
      <c r="B39" s="213" t="s">
        <v>209</v>
      </c>
      <c r="C39" s="213" t="s">
        <v>210</v>
      </c>
      <c r="D39" s="214" t="s">
        <v>356</v>
      </c>
      <c r="E39" s="214" t="s">
        <v>356</v>
      </c>
      <c r="F39" s="213"/>
      <c r="G39" s="213" t="s">
        <v>351</v>
      </c>
      <c r="H39" s="213"/>
      <c r="I39" s="213" t="s">
        <v>213</v>
      </c>
      <c r="J39" s="213"/>
      <c r="K39" s="213">
        <v>81101</v>
      </c>
      <c r="L39" s="213" t="s">
        <v>256</v>
      </c>
      <c r="M39" s="264">
        <v>150.93262077558751</v>
      </c>
      <c r="N39" s="260">
        <v>222720</v>
      </c>
      <c r="O39" s="213"/>
      <c r="P39" s="213"/>
      <c r="Q39" s="213"/>
      <c r="R39" s="214" t="s">
        <v>356</v>
      </c>
      <c r="S39" s="213"/>
      <c r="T39" s="213" t="s">
        <v>361</v>
      </c>
      <c r="U39" s="238" t="s">
        <v>360</v>
      </c>
      <c r="V39" s="213"/>
      <c r="W39" s="213"/>
    </row>
    <row r="40" spans="1:23" s="144" customFormat="1" ht="13.2">
      <c r="A40" s="233"/>
      <c r="B40" s="213" t="s">
        <v>209</v>
      </c>
      <c r="C40" s="213" t="s">
        <v>210</v>
      </c>
      <c r="D40" s="214" t="s">
        <v>356</v>
      </c>
      <c r="E40" s="214" t="s">
        <v>356</v>
      </c>
      <c r="F40" s="213"/>
      <c r="G40" s="213" t="s">
        <v>351</v>
      </c>
      <c r="H40" s="213"/>
      <c r="I40" s="213" t="s">
        <v>213</v>
      </c>
      <c r="J40" s="213"/>
      <c r="K40" s="213">
        <v>81101</v>
      </c>
      <c r="L40" s="213" t="s">
        <v>256</v>
      </c>
      <c r="M40" s="264">
        <v>774.47165499714743</v>
      </c>
      <c r="N40" s="260">
        <v>1142830</v>
      </c>
      <c r="O40" s="213"/>
      <c r="P40" s="213"/>
      <c r="Q40" s="213"/>
      <c r="R40" s="214" t="s">
        <v>356</v>
      </c>
      <c r="S40" s="213"/>
      <c r="T40" s="213" t="s">
        <v>357</v>
      </c>
      <c r="U40" s="271" t="s">
        <v>369</v>
      </c>
      <c r="V40" s="213"/>
      <c r="W40" s="213"/>
    </row>
    <row r="41" spans="1:23" s="144" customFormat="1" ht="13.8" thickBot="1">
      <c r="A41" s="234"/>
      <c r="B41" s="113" t="s">
        <v>209</v>
      </c>
      <c r="C41" s="113" t="s">
        <v>210</v>
      </c>
      <c r="D41" s="114" t="s">
        <v>356</v>
      </c>
      <c r="E41" s="114" t="s">
        <v>356</v>
      </c>
      <c r="F41" s="113"/>
      <c r="G41" s="113" t="s">
        <v>351</v>
      </c>
      <c r="H41" s="113"/>
      <c r="I41" s="113" t="s">
        <v>213</v>
      </c>
      <c r="J41" s="113"/>
      <c r="K41" s="113">
        <v>81101</v>
      </c>
      <c r="L41" s="113" t="s">
        <v>256</v>
      </c>
      <c r="M41" s="265">
        <v>541.00954814109332</v>
      </c>
      <c r="N41" s="261">
        <v>803810</v>
      </c>
      <c r="O41" s="113"/>
      <c r="P41" s="113"/>
      <c r="Q41" s="113"/>
      <c r="R41" s="114" t="s">
        <v>356</v>
      </c>
      <c r="S41" s="113"/>
      <c r="T41" s="113" t="s">
        <v>357</v>
      </c>
      <c r="U41" s="239" t="s">
        <v>363</v>
      </c>
      <c r="V41" s="113"/>
      <c r="W41" s="113"/>
    </row>
    <row r="42" spans="1:23" s="144" customFormat="1" ht="13.2">
      <c r="A42" s="233">
        <v>3</v>
      </c>
      <c r="B42" s="213" t="s">
        <v>209</v>
      </c>
      <c r="C42" s="213" t="s">
        <v>210</v>
      </c>
      <c r="D42" s="214" t="s">
        <v>352</v>
      </c>
      <c r="E42" s="214" t="s">
        <v>352</v>
      </c>
      <c r="F42" s="213"/>
      <c r="G42" s="213" t="s">
        <v>351</v>
      </c>
      <c r="H42" s="213"/>
      <c r="I42" s="213" t="s">
        <v>213</v>
      </c>
      <c r="J42" s="213"/>
      <c r="K42" s="213">
        <v>81900</v>
      </c>
      <c r="L42" s="213" t="s">
        <v>293</v>
      </c>
      <c r="M42" s="264">
        <v>7705.2823289891003</v>
      </c>
      <c r="N42" s="260">
        <v>11126890</v>
      </c>
      <c r="O42" s="213"/>
      <c r="P42" s="213"/>
      <c r="Q42" s="213"/>
      <c r="R42" s="214" t="s">
        <v>352</v>
      </c>
      <c r="S42" s="213"/>
      <c r="T42" s="213" t="s">
        <v>366</v>
      </c>
      <c r="U42" s="238" t="s">
        <v>365</v>
      </c>
      <c r="V42" s="213"/>
      <c r="W42" s="213"/>
    </row>
    <row r="43" spans="1:23" s="144" customFormat="1" ht="13.8" thickBot="1">
      <c r="A43" s="234"/>
      <c r="B43" s="113" t="s">
        <v>209</v>
      </c>
      <c r="C43" s="113" t="s">
        <v>210</v>
      </c>
      <c r="D43" s="114" t="s">
        <v>352</v>
      </c>
      <c r="E43" s="114" t="s">
        <v>352</v>
      </c>
      <c r="F43" s="113"/>
      <c r="G43" s="113" t="s">
        <v>351</v>
      </c>
      <c r="H43" s="113"/>
      <c r="I43" s="113" t="s">
        <v>213</v>
      </c>
      <c r="J43" s="113"/>
      <c r="K43" s="113">
        <v>81900</v>
      </c>
      <c r="L43" s="113" t="s">
        <v>293</v>
      </c>
      <c r="M43" s="265">
        <v>17394.983587939561</v>
      </c>
      <c r="N43" s="261">
        <v>25119400</v>
      </c>
      <c r="O43" s="113"/>
      <c r="P43" s="113"/>
      <c r="Q43" s="113"/>
      <c r="R43" s="114" t="s">
        <v>352</v>
      </c>
      <c r="S43" s="113"/>
      <c r="T43" s="113" t="s">
        <v>368</v>
      </c>
      <c r="U43" s="239" t="s">
        <v>367</v>
      </c>
      <c r="V43" s="113"/>
      <c r="W43" s="113"/>
    </row>
    <row r="44" spans="1:23">
      <c r="A44" s="231">
        <v>3</v>
      </c>
      <c r="B44" s="165" t="s">
        <v>209</v>
      </c>
      <c r="C44" s="165" t="s">
        <v>210</v>
      </c>
      <c r="D44" s="166" t="s">
        <v>370</v>
      </c>
      <c r="E44" s="166" t="s">
        <v>370</v>
      </c>
      <c r="F44" s="165"/>
      <c r="G44" s="165" t="s">
        <v>351</v>
      </c>
      <c r="H44" s="165"/>
      <c r="I44" s="165" t="s">
        <v>213</v>
      </c>
      <c r="J44" s="165"/>
      <c r="K44" s="165">
        <v>81100</v>
      </c>
      <c r="L44" s="165" t="s">
        <v>119</v>
      </c>
      <c r="M44" s="263">
        <v>208.03570774745111</v>
      </c>
      <c r="N44" s="259">
        <v>309091</v>
      </c>
      <c r="O44" s="165"/>
      <c r="P44" s="165"/>
      <c r="Q44" s="165"/>
      <c r="R44" s="166" t="s">
        <v>370</v>
      </c>
      <c r="S44" s="165"/>
      <c r="T44" s="165" t="s">
        <v>371</v>
      </c>
      <c r="U44" s="165" t="s">
        <v>372</v>
      </c>
      <c r="V44" s="165"/>
      <c r="W44" s="165"/>
    </row>
    <row r="45" spans="1:23">
      <c r="A45" s="233"/>
      <c r="B45" s="213" t="s">
        <v>209</v>
      </c>
      <c r="C45" s="213" t="s">
        <v>210</v>
      </c>
      <c r="D45" s="214" t="s">
        <v>352</v>
      </c>
      <c r="E45" s="214" t="s">
        <v>352</v>
      </c>
      <c r="F45" s="213"/>
      <c r="G45" s="213" t="s">
        <v>351</v>
      </c>
      <c r="H45" s="213"/>
      <c r="I45" s="213" t="s">
        <v>213</v>
      </c>
      <c r="J45" s="213"/>
      <c r="K45" s="213">
        <v>81100</v>
      </c>
      <c r="L45" s="213" t="s">
        <v>119</v>
      </c>
      <c r="M45" s="264">
        <v>3462.460008586901</v>
      </c>
      <c r="N45" s="260">
        <v>5000000</v>
      </c>
      <c r="O45" s="213"/>
      <c r="P45" s="213"/>
      <c r="Q45" s="213"/>
      <c r="R45" s="214" t="s">
        <v>352</v>
      </c>
      <c r="S45" s="213"/>
      <c r="T45" s="213" t="s">
        <v>373</v>
      </c>
      <c r="U45" s="213" t="s">
        <v>374</v>
      </c>
      <c r="V45" s="213"/>
      <c r="W45" s="213"/>
    </row>
    <row r="46" spans="1:23">
      <c r="A46" s="233"/>
      <c r="B46" s="213" t="s">
        <v>209</v>
      </c>
      <c r="C46" s="213" t="s">
        <v>210</v>
      </c>
      <c r="D46" s="214" t="s">
        <v>375</v>
      </c>
      <c r="E46" s="214" t="s">
        <v>375</v>
      </c>
      <c r="F46" s="213"/>
      <c r="G46" s="213" t="s">
        <v>351</v>
      </c>
      <c r="H46" s="213"/>
      <c r="I46" s="213" t="s">
        <v>213</v>
      </c>
      <c r="J46" s="213"/>
      <c r="K46" s="213">
        <v>81100</v>
      </c>
      <c r="L46" s="213" t="s">
        <v>119</v>
      </c>
      <c r="M46" s="264">
        <v>588.25138412723845</v>
      </c>
      <c r="N46" s="260">
        <v>874000</v>
      </c>
      <c r="O46" s="213"/>
      <c r="P46" s="213"/>
      <c r="Q46" s="213"/>
      <c r="R46" s="214" t="s">
        <v>375</v>
      </c>
      <c r="S46" s="213"/>
      <c r="T46" s="213" t="s">
        <v>376</v>
      </c>
      <c r="U46" s="213" t="s">
        <v>377</v>
      </c>
      <c r="V46" s="213"/>
      <c r="W46" s="213"/>
    </row>
    <row r="47" spans="1:23">
      <c r="A47" s="233"/>
      <c r="B47" s="213" t="s">
        <v>209</v>
      </c>
      <c r="C47" s="213" t="s">
        <v>210</v>
      </c>
      <c r="D47" s="214" t="s">
        <v>356</v>
      </c>
      <c r="E47" s="214" t="s">
        <v>356</v>
      </c>
      <c r="F47" s="213"/>
      <c r="G47" s="213" t="s">
        <v>351</v>
      </c>
      <c r="H47" s="213"/>
      <c r="I47" s="213" t="s">
        <v>213</v>
      </c>
      <c r="J47" s="213"/>
      <c r="K47" s="213">
        <v>81100</v>
      </c>
      <c r="L47" s="213" t="s">
        <v>119</v>
      </c>
      <c r="M47" s="264">
        <v>374.2955509463564</v>
      </c>
      <c r="N47" s="260">
        <v>552320</v>
      </c>
      <c r="O47" s="213"/>
      <c r="P47" s="213"/>
      <c r="Q47" s="213"/>
      <c r="R47" s="214" t="s">
        <v>356</v>
      </c>
      <c r="S47" s="213"/>
      <c r="T47" s="213" t="s">
        <v>362</v>
      </c>
      <c r="U47" s="213" t="s">
        <v>363</v>
      </c>
      <c r="V47" s="213"/>
      <c r="W47" s="213"/>
    </row>
    <row r="48" spans="1:23">
      <c r="A48" s="233"/>
      <c r="B48" s="213" t="s">
        <v>209</v>
      </c>
      <c r="C48" s="213" t="s">
        <v>210</v>
      </c>
      <c r="D48" s="214" t="s">
        <v>378</v>
      </c>
      <c r="E48" s="214" t="s">
        <v>378</v>
      </c>
      <c r="F48" s="213"/>
      <c r="G48" s="213" t="s">
        <v>351</v>
      </c>
      <c r="H48" s="213"/>
      <c r="I48" s="213" t="s">
        <v>213</v>
      </c>
      <c r="J48" s="213"/>
      <c r="K48" s="213">
        <v>81100</v>
      </c>
      <c r="L48" s="213" t="s">
        <v>119</v>
      </c>
      <c r="M48" s="264">
        <v>141.34186575139597</v>
      </c>
      <c r="N48" s="260">
        <v>210000</v>
      </c>
      <c r="O48" s="213"/>
      <c r="P48" s="213"/>
      <c r="Q48" s="213"/>
      <c r="R48" s="214" t="s">
        <v>378</v>
      </c>
      <c r="S48" s="213"/>
      <c r="T48" s="213" t="s">
        <v>379</v>
      </c>
      <c r="U48" s="213" t="s">
        <v>380</v>
      </c>
      <c r="V48" s="213"/>
      <c r="W48" s="213"/>
    </row>
    <row r="49" spans="1:23">
      <c r="A49" s="233"/>
      <c r="B49" s="213" t="s">
        <v>209</v>
      </c>
      <c r="C49" s="213" t="s">
        <v>210</v>
      </c>
      <c r="D49" s="214" t="s">
        <v>381</v>
      </c>
      <c r="E49" s="214" t="s">
        <v>381</v>
      </c>
      <c r="F49" s="213"/>
      <c r="G49" s="213" t="s">
        <v>351</v>
      </c>
      <c r="H49" s="213"/>
      <c r="I49" s="213" t="s">
        <v>213</v>
      </c>
      <c r="J49" s="213"/>
      <c r="K49" s="213">
        <v>81100</v>
      </c>
      <c r="L49" s="213" t="s">
        <v>119</v>
      </c>
      <c r="M49" s="264">
        <v>13.98611414435242</v>
      </c>
      <c r="N49" s="260">
        <v>20780</v>
      </c>
      <c r="O49" s="213"/>
      <c r="P49" s="213"/>
      <c r="Q49" s="213"/>
      <c r="R49" s="214" t="s">
        <v>381</v>
      </c>
      <c r="S49" s="213"/>
      <c r="T49" s="213" t="s">
        <v>382</v>
      </c>
      <c r="U49" s="213" t="s">
        <v>383</v>
      </c>
      <c r="V49" s="213"/>
      <c r="W49" s="213"/>
    </row>
    <row r="50" spans="1:23" ht="18" thickBot="1">
      <c r="A50" s="234"/>
      <c r="B50" s="113" t="s">
        <v>209</v>
      </c>
      <c r="C50" s="113" t="s">
        <v>210</v>
      </c>
      <c r="D50" s="114" t="s">
        <v>350</v>
      </c>
      <c r="E50" s="114" t="s">
        <v>350</v>
      </c>
      <c r="F50" s="113"/>
      <c r="G50" s="113" t="s">
        <v>351</v>
      </c>
      <c r="H50" s="113"/>
      <c r="I50" s="113" t="s">
        <v>213</v>
      </c>
      <c r="J50" s="113"/>
      <c r="K50" s="113">
        <v>81100</v>
      </c>
      <c r="L50" s="113" t="s">
        <v>119</v>
      </c>
      <c r="M50" s="265">
        <v>534.4068638409924</v>
      </c>
      <c r="N50" s="261">
        <v>794000</v>
      </c>
      <c r="O50" s="113"/>
      <c r="P50" s="113"/>
      <c r="Q50" s="113"/>
      <c r="R50" s="114" t="s">
        <v>350</v>
      </c>
      <c r="S50" s="113"/>
      <c r="T50" s="113" t="s">
        <v>353</v>
      </c>
      <c r="U50" s="113" t="s">
        <v>384</v>
      </c>
      <c r="V50" s="113"/>
      <c r="W50" s="113"/>
    </row>
    <row r="51" spans="1:23" ht="18" thickBot="1">
      <c r="A51" s="272">
        <v>4</v>
      </c>
      <c r="B51" s="273" t="s">
        <v>209</v>
      </c>
      <c r="C51" s="273" t="s">
        <v>210</v>
      </c>
      <c r="D51" s="274" t="s">
        <v>370</v>
      </c>
      <c r="E51" s="274" t="s">
        <v>370</v>
      </c>
      <c r="F51" s="273"/>
      <c r="G51" s="273" t="s">
        <v>351</v>
      </c>
      <c r="H51" s="273"/>
      <c r="I51" s="273" t="s">
        <v>213</v>
      </c>
      <c r="J51" s="273"/>
      <c r="K51" s="273">
        <v>81601</v>
      </c>
      <c r="L51" s="273" t="s">
        <v>125</v>
      </c>
      <c r="M51" s="269">
        <v>310.48769566560225</v>
      </c>
      <c r="N51" s="270">
        <v>461310</v>
      </c>
      <c r="O51" s="273"/>
      <c r="P51" s="273"/>
      <c r="Q51" s="273"/>
      <c r="R51" s="274" t="s">
        <v>370</v>
      </c>
      <c r="S51" s="273"/>
      <c r="T51" s="273" t="s">
        <v>385</v>
      </c>
      <c r="U51" s="273" t="s">
        <v>386</v>
      </c>
      <c r="V51" s="273"/>
      <c r="W51" s="273"/>
    </row>
    <row r="52" spans="1:23">
      <c r="A52" s="231">
        <v>5</v>
      </c>
      <c r="B52" s="165" t="s">
        <v>209</v>
      </c>
      <c r="C52" s="165" t="s">
        <v>210</v>
      </c>
      <c r="D52" s="166" t="s">
        <v>352</v>
      </c>
      <c r="E52" s="166" t="s">
        <v>352</v>
      </c>
      <c r="F52" s="165"/>
      <c r="G52" s="165" t="s">
        <v>351</v>
      </c>
      <c r="H52" s="165"/>
      <c r="I52" s="165" t="s">
        <v>213</v>
      </c>
      <c r="J52" s="165"/>
      <c r="K52" s="165">
        <v>82100</v>
      </c>
      <c r="L52" s="165" t="s">
        <v>128</v>
      </c>
      <c r="M52" s="263">
        <v>6.9590598356248563</v>
      </c>
      <c r="N52" s="259">
        <v>9966</v>
      </c>
      <c r="O52" s="165"/>
      <c r="P52" s="165"/>
      <c r="Q52" s="165"/>
      <c r="R52" s="166" t="s">
        <v>352</v>
      </c>
      <c r="S52" s="165"/>
      <c r="T52" s="165" t="s">
        <v>304</v>
      </c>
      <c r="U52" s="165" t="s">
        <v>387</v>
      </c>
      <c r="V52" s="165"/>
      <c r="W52" s="165"/>
    </row>
    <row r="53" spans="1:23">
      <c r="A53" s="233"/>
      <c r="B53" s="213" t="s">
        <v>209</v>
      </c>
      <c r="C53" s="213" t="s">
        <v>210</v>
      </c>
      <c r="D53" s="214" t="s">
        <v>352</v>
      </c>
      <c r="E53" s="214" t="s">
        <v>352</v>
      </c>
      <c r="F53" s="213"/>
      <c r="G53" s="213" t="s">
        <v>351</v>
      </c>
      <c r="H53" s="213"/>
      <c r="I53" s="213" t="s">
        <v>213</v>
      </c>
      <c r="J53" s="213"/>
      <c r="K53" s="213">
        <v>82100</v>
      </c>
      <c r="L53" s="213" t="s">
        <v>128</v>
      </c>
      <c r="M53" s="264">
        <v>195.19895295209341</v>
      </c>
      <c r="N53" s="260">
        <v>281879</v>
      </c>
      <c r="O53" s="213"/>
      <c r="P53" s="213"/>
      <c r="Q53" s="213"/>
      <c r="R53" s="214" t="s">
        <v>352</v>
      </c>
      <c r="S53" s="213"/>
      <c r="T53" s="213" t="s">
        <v>388</v>
      </c>
      <c r="U53" s="213" t="s">
        <v>389</v>
      </c>
      <c r="V53" s="213"/>
      <c r="W53" s="213"/>
    </row>
    <row r="54" spans="1:23" ht="18" thickBot="1">
      <c r="A54" s="234"/>
      <c r="B54" s="113" t="s">
        <v>209</v>
      </c>
      <c r="C54" s="113" t="s">
        <v>210</v>
      </c>
      <c r="D54" s="114" t="s">
        <v>352</v>
      </c>
      <c r="E54" s="114" t="s">
        <v>352</v>
      </c>
      <c r="F54" s="113"/>
      <c r="G54" s="113" t="s">
        <v>351</v>
      </c>
      <c r="H54" s="113"/>
      <c r="I54" s="113" t="s">
        <v>213</v>
      </c>
      <c r="J54" s="113"/>
      <c r="K54" s="113">
        <v>82100</v>
      </c>
      <c r="L54" s="113" t="s">
        <v>128</v>
      </c>
      <c r="M54" s="265">
        <v>156.1590238632744</v>
      </c>
      <c r="N54" s="261">
        <v>225503</v>
      </c>
      <c r="O54" s="113"/>
      <c r="P54" s="113"/>
      <c r="Q54" s="113"/>
      <c r="R54" s="114" t="s">
        <v>352</v>
      </c>
      <c r="S54" s="113"/>
      <c r="T54" s="113" t="s">
        <v>390</v>
      </c>
      <c r="U54" s="113" t="s">
        <v>391</v>
      </c>
      <c r="V54" s="113"/>
      <c r="W54" s="113"/>
    </row>
    <row r="57" spans="1:23">
      <c r="A57" s="202" t="s">
        <v>35</v>
      </c>
      <c r="B57" s="207">
        <f>F9</f>
        <v>99.730614202861034</v>
      </c>
    </row>
    <row r="58" spans="1:23">
      <c r="A58" s="202" t="s">
        <v>153</v>
      </c>
      <c r="B58" s="207">
        <f>F10</f>
        <v>0.86942671009455808</v>
      </c>
    </row>
    <row r="59" spans="1:23">
      <c r="A59" s="202" t="s">
        <v>70</v>
      </c>
      <c r="B59" s="207">
        <f>F11</f>
        <v>14.146216994412043</v>
      </c>
    </row>
    <row r="60" spans="1:23">
      <c r="A60" s="202" t="s">
        <v>47</v>
      </c>
      <c r="B60" s="207">
        <f>F16</f>
        <v>-5.3153671107338596E-2</v>
      </c>
    </row>
    <row r="61" spans="1:23">
      <c r="A61" s="202" t="s">
        <v>49</v>
      </c>
      <c r="B61" s="207">
        <f>F17</f>
        <v>704.46535864176985</v>
      </c>
    </row>
    <row r="62" spans="1:23">
      <c r="A62" s="202" t="s">
        <v>68</v>
      </c>
      <c r="B62" s="207">
        <f>F19</f>
        <v>10.112610012332311</v>
      </c>
    </row>
    <row r="63" spans="1:23">
      <c r="A63" s="202" t="s">
        <v>63</v>
      </c>
      <c r="B63" s="207">
        <f>F27</f>
        <v>-3488.7971754875034</v>
      </c>
    </row>
    <row r="64" spans="1:23">
      <c r="B64" s="207">
        <f>SUM(B57:B63)</f>
        <v>-2659.5261025971408</v>
      </c>
    </row>
    <row r="65" spans="1:3">
      <c r="B65" s="207">
        <f>B64*0.06</f>
        <v>-159.57156615582844</v>
      </c>
      <c r="C65" s="202" t="s">
        <v>392</v>
      </c>
    </row>
    <row r="66" spans="1:3">
      <c r="B66" s="207">
        <f>B64+B65</f>
        <v>-2819.0976687529692</v>
      </c>
      <c r="C66" s="202" t="s">
        <v>247</v>
      </c>
    </row>
    <row r="69" spans="1:3">
      <c r="A69" s="202" t="s">
        <v>153</v>
      </c>
      <c r="B69" s="207">
        <f>-E10+B58</f>
        <v>-218970.9405446756</v>
      </c>
    </row>
    <row r="70" spans="1:3">
      <c r="B70" s="207">
        <f>B69*0.06</f>
        <v>-13138.256432680535</v>
      </c>
      <c r="C70" s="202" t="s">
        <v>392</v>
      </c>
    </row>
    <row r="71" spans="1:3">
      <c r="B71" s="207">
        <f>SUM(B69:B70)</f>
        <v>-232109.19697735613</v>
      </c>
      <c r="C71" s="202" t="s">
        <v>247</v>
      </c>
    </row>
    <row r="73" spans="1:3">
      <c r="B73" s="207">
        <f>B66+B71</f>
        <v>-234928.29464610911</v>
      </c>
      <c r="C73" s="202" t="s">
        <v>247</v>
      </c>
    </row>
    <row r="74" spans="1:3">
      <c r="B74" s="202" t="s">
        <v>341</v>
      </c>
    </row>
  </sheetData>
  <mergeCells count="4">
    <mergeCell ref="A42:A43"/>
    <mergeCell ref="A38:A41"/>
    <mergeCell ref="A44:A50"/>
    <mergeCell ref="A52:A5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Jan–Apr 2026 Summary</vt:lpstr>
      <vt:lpstr>Revenue Markup Working Jan</vt:lpstr>
      <vt:lpstr>Revenue Markup Working Feb</vt:lpstr>
      <vt:lpstr>Revenue Markup Working March</vt:lpstr>
      <vt:lpstr>Revenue Markup Working 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Hyelim Jung</cp:lastModifiedBy>
  <dcterms:created xsi:type="dcterms:W3CDTF">2026-03-16T05:21:28Z</dcterms:created>
  <dcterms:modified xsi:type="dcterms:W3CDTF">2026-06-12T05:16:19Z</dcterms:modified>
</cp:coreProperties>
</file>