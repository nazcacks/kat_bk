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CR\EDPR&amp;OMA&amp;Gumisan&amp;Angang\1 - Bookkeeping\EDPR\2026\2\Closing\"/>
    </mc:Choice>
  </mc:AlternateContent>
  <xr:revisionPtr revIDLastSave="0" documentId="13_ncr:1_{A1BAF1BC-1CEE-4E4E-BDD0-C452ACBD0D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FS Template_2026" sheetId="2" r:id="rId1"/>
    <sheet name="2월" sheetId="8" r:id="rId2"/>
    <sheet name="Leases,Rents" sheetId="5" state="hidden" r:id="rId3"/>
    <sheet name="CFS Template_2022" sheetId="4" state="hidden" r:id="rId4"/>
    <sheet name="Leases,Rents_2022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8" l="1"/>
  <c r="B5" i="8" l="1"/>
  <c r="H17" i="8"/>
  <c r="D15" i="2"/>
  <c r="I17" i="8"/>
  <c r="D55" i="2"/>
  <c r="D51" i="2" s="1"/>
  <c r="D64" i="2" s="1"/>
  <c r="D52" i="2"/>
  <c r="D43" i="2"/>
  <c r="D40" i="2"/>
  <c r="D39" i="2"/>
  <c r="D31" i="2"/>
  <c r="D37" i="2" s="1"/>
  <c r="D22" i="2"/>
  <c r="D11" i="2"/>
  <c r="D16" i="2" l="1"/>
  <c r="D10" i="2" s="1"/>
  <c r="D9" i="2"/>
  <c r="D8" i="8"/>
  <c r="O19" i="2" l="1"/>
  <c r="D10" i="8" l="1"/>
  <c r="D7" i="2" l="1"/>
  <c r="D8" i="2"/>
  <c r="G8" i="5"/>
  <c r="D5" i="2" l="1"/>
  <c r="D17" i="2" s="1"/>
  <c r="D20" i="2" s="1"/>
  <c r="D65" i="2" s="1"/>
  <c r="D68" i="2" s="1"/>
  <c r="D69" i="2" s="1"/>
  <c r="G11" i="3"/>
  <c r="C10" i="5"/>
  <c r="C11" i="5" s="1"/>
  <c r="M10" i="5"/>
  <c r="L10" i="5"/>
  <c r="K10" i="5"/>
  <c r="J10" i="5"/>
  <c r="I10" i="5"/>
  <c r="H10" i="5"/>
  <c r="G10" i="5"/>
  <c r="F10" i="5"/>
  <c r="E10" i="5"/>
  <c r="D10" i="5"/>
  <c r="N10" i="5"/>
  <c r="O67" i="4"/>
  <c r="O63" i="4"/>
  <c r="O62" i="4"/>
  <c r="O61" i="4"/>
  <c r="O60" i="4"/>
  <c r="O59" i="4"/>
  <c r="O58" i="4"/>
  <c r="O57" i="4"/>
  <c r="O56" i="4"/>
  <c r="O55" i="4" s="1"/>
  <c r="N55" i="4"/>
  <c r="M55" i="4"/>
  <c r="M51" i="4" s="1"/>
  <c r="L55" i="4"/>
  <c r="K55" i="4"/>
  <c r="J55" i="4"/>
  <c r="I55" i="4"/>
  <c r="H55" i="4"/>
  <c r="G55" i="4"/>
  <c r="F55" i="4"/>
  <c r="E55" i="4"/>
  <c r="E51" i="4" s="1"/>
  <c r="D55" i="4"/>
  <c r="C55" i="4"/>
  <c r="O54" i="4"/>
  <c r="O53" i="4"/>
  <c r="O52" i="4" s="1"/>
  <c r="O51" i="4" s="1"/>
  <c r="N52" i="4"/>
  <c r="M52" i="4"/>
  <c r="L52" i="4"/>
  <c r="L51" i="4" s="1"/>
  <c r="L64" i="4" s="1"/>
  <c r="K52" i="4"/>
  <c r="J52" i="4"/>
  <c r="J51" i="4" s="1"/>
  <c r="J64" i="4" s="1"/>
  <c r="I52" i="4"/>
  <c r="H52" i="4"/>
  <c r="H51" i="4" s="1"/>
  <c r="H64" i="4" s="1"/>
  <c r="G52" i="4"/>
  <c r="G51" i="4" s="1"/>
  <c r="G64" i="4" s="1"/>
  <c r="G65" i="4" s="1"/>
  <c r="F52" i="4"/>
  <c r="E52" i="4"/>
  <c r="D52" i="4"/>
  <c r="D51" i="4" s="1"/>
  <c r="D64" i="4" s="1"/>
  <c r="C52" i="4"/>
  <c r="N51" i="4"/>
  <c r="N64" i="4" s="1"/>
  <c r="K51" i="4"/>
  <c r="K64" i="4" s="1"/>
  <c r="I51" i="4"/>
  <c r="I64" i="4" s="1"/>
  <c r="F51" i="4"/>
  <c r="F64" i="4" s="1"/>
  <c r="F65" i="4" s="1"/>
  <c r="C51" i="4"/>
  <c r="C64" i="4" s="1"/>
  <c r="O50" i="4"/>
  <c r="O49" i="4"/>
  <c r="O48" i="4"/>
  <c r="O47" i="4"/>
  <c r="O46" i="4"/>
  <c r="O45" i="4"/>
  <c r="O44" i="4"/>
  <c r="O43" i="4"/>
  <c r="N43" i="4"/>
  <c r="M43" i="4"/>
  <c r="M39" i="4" s="1"/>
  <c r="L43" i="4"/>
  <c r="K43" i="4"/>
  <c r="J43" i="4"/>
  <c r="I43" i="4"/>
  <c r="H43" i="4"/>
  <c r="G43" i="4"/>
  <c r="G39" i="4" s="1"/>
  <c r="F43" i="4"/>
  <c r="E43" i="4"/>
  <c r="E39" i="4" s="1"/>
  <c r="D43" i="4"/>
  <c r="C43" i="4"/>
  <c r="O42" i="4"/>
  <c r="O41" i="4"/>
  <c r="O40" i="4" s="1"/>
  <c r="N40" i="4"/>
  <c r="M40" i="4"/>
  <c r="L40" i="4"/>
  <c r="L39" i="4" s="1"/>
  <c r="K40" i="4"/>
  <c r="J40" i="4"/>
  <c r="J39" i="4" s="1"/>
  <c r="I40" i="4"/>
  <c r="H40" i="4"/>
  <c r="H39" i="4" s="1"/>
  <c r="G40" i="4"/>
  <c r="F40" i="4"/>
  <c r="E40" i="4"/>
  <c r="D40" i="4"/>
  <c r="D39" i="4" s="1"/>
  <c r="C40" i="4"/>
  <c r="N39" i="4"/>
  <c r="K39" i="4"/>
  <c r="I39" i="4"/>
  <c r="F39" i="4"/>
  <c r="C39" i="4"/>
  <c r="O39" i="4" s="1"/>
  <c r="O36" i="4"/>
  <c r="O35" i="4"/>
  <c r="O34" i="4"/>
  <c r="O33" i="4"/>
  <c r="O32" i="4"/>
  <c r="K32" i="4"/>
  <c r="N31" i="4"/>
  <c r="M31" i="4"/>
  <c r="M37" i="4" s="1"/>
  <c r="L31" i="4"/>
  <c r="L37" i="4" s="1"/>
  <c r="K31" i="4"/>
  <c r="J31" i="4"/>
  <c r="I31" i="4"/>
  <c r="I37" i="4" s="1"/>
  <c r="H31" i="4"/>
  <c r="G31" i="4"/>
  <c r="G37" i="4" s="1"/>
  <c r="F31" i="4"/>
  <c r="E31" i="4"/>
  <c r="E37" i="4" s="1"/>
  <c r="D31" i="4"/>
  <c r="D37" i="4" s="1"/>
  <c r="C31" i="4"/>
  <c r="O31" i="4" s="1"/>
  <c r="O30" i="4"/>
  <c r="O29" i="4"/>
  <c r="O28" i="4"/>
  <c r="O27" i="4"/>
  <c r="O26" i="4"/>
  <c r="O25" i="4"/>
  <c r="O24" i="4"/>
  <c r="O23" i="4"/>
  <c r="N22" i="4"/>
  <c r="N37" i="4" s="1"/>
  <c r="M22" i="4"/>
  <c r="L22" i="4"/>
  <c r="K22" i="4"/>
  <c r="K37" i="4" s="1"/>
  <c r="J22" i="4"/>
  <c r="J37" i="4" s="1"/>
  <c r="I22" i="4"/>
  <c r="H22" i="4"/>
  <c r="H37" i="4" s="1"/>
  <c r="G22" i="4"/>
  <c r="F22" i="4"/>
  <c r="F37" i="4" s="1"/>
  <c r="E22" i="4"/>
  <c r="D22" i="4"/>
  <c r="C22" i="4"/>
  <c r="O22" i="4" s="1"/>
  <c r="N19" i="4"/>
  <c r="L19" i="4"/>
  <c r="K19" i="4"/>
  <c r="O19" i="4" s="1"/>
  <c r="O18" i="4"/>
  <c r="G17" i="4"/>
  <c r="G20" i="4" s="1"/>
  <c r="O16" i="4"/>
  <c r="O15" i="4"/>
  <c r="L15" i="4"/>
  <c r="O14" i="4"/>
  <c r="J13" i="4"/>
  <c r="O13" i="4" s="1"/>
  <c r="O12" i="4"/>
  <c r="N11" i="4"/>
  <c r="M11" i="4"/>
  <c r="M10" i="4" s="1"/>
  <c r="M17" i="4" s="1"/>
  <c r="M20" i="4" s="1"/>
  <c r="L11" i="4"/>
  <c r="K11" i="4"/>
  <c r="I11" i="4"/>
  <c r="I10" i="4" s="1"/>
  <c r="H11" i="4"/>
  <c r="G11" i="4"/>
  <c r="F11" i="4"/>
  <c r="E11" i="4"/>
  <c r="E10" i="4" s="1"/>
  <c r="D11" i="4"/>
  <c r="C11" i="4"/>
  <c r="N10" i="4"/>
  <c r="N17" i="4" s="1"/>
  <c r="N20" i="4" s="1"/>
  <c r="L10" i="4"/>
  <c r="L17" i="4" s="1"/>
  <c r="L20" i="4" s="1"/>
  <c r="K10" i="4"/>
  <c r="K17" i="4" s="1"/>
  <c r="K20" i="4" s="1"/>
  <c r="H10" i="4"/>
  <c r="H17" i="4" s="1"/>
  <c r="H20" i="4" s="1"/>
  <c r="G10" i="4"/>
  <c r="F10" i="4"/>
  <c r="F17" i="4" s="1"/>
  <c r="F20" i="4" s="1"/>
  <c r="D10" i="4"/>
  <c r="D17" i="4" s="1"/>
  <c r="D20" i="4" s="1"/>
  <c r="C10" i="4"/>
  <c r="N9" i="4"/>
  <c r="L9" i="4"/>
  <c r="K9" i="4"/>
  <c r="J9" i="4"/>
  <c r="O9" i="4" s="1"/>
  <c r="N8" i="4"/>
  <c r="K8" i="4"/>
  <c r="J8" i="4"/>
  <c r="I8" i="4"/>
  <c r="O8" i="4" s="1"/>
  <c r="L7" i="4"/>
  <c r="K7" i="4"/>
  <c r="K5" i="4" s="1"/>
  <c r="J7" i="4"/>
  <c r="I7" i="4"/>
  <c r="I5" i="4" s="1"/>
  <c r="E7" i="4"/>
  <c r="O7" i="4" s="1"/>
  <c r="I6" i="4"/>
  <c r="E6" i="4"/>
  <c r="O6" i="4" s="1"/>
  <c r="N5" i="4"/>
  <c r="M5" i="4"/>
  <c r="L5" i="4"/>
  <c r="J5" i="4"/>
  <c r="H5" i="4"/>
  <c r="G5" i="4"/>
  <c r="F5" i="4"/>
  <c r="D5" i="4"/>
  <c r="C5" i="4"/>
  <c r="O4" i="4"/>
  <c r="O3" i="4"/>
  <c r="N8" i="3"/>
  <c r="N10" i="3" s="1"/>
  <c r="N6" i="3"/>
  <c r="M11" i="3"/>
  <c r="M10" i="3"/>
  <c r="L10" i="3"/>
  <c r="L11" i="3" s="1"/>
  <c r="K10" i="3"/>
  <c r="K11" i="3" s="1"/>
  <c r="J10" i="3"/>
  <c r="J11" i="3" s="1"/>
  <c r="I11" i="3"/>
  <c r="H11" i="3"/>
  <c r="F11" i="3"/>
  <c r="E11" i="3"/>
  <c r="D11" i="3"/>
  <c r="I10" i="3"/>
  <c r="H10" i="3"/>
  <c r="G10" i="3"/>
  <c r="F10" i="3"/>
  <c r="E10" i="3"/>
  <c r="D10" i="3"/>
  <c r="O64" i="4" l="1"/>
  <c r="H65" i="4"/>
  <c r="K65" i="4"/>
  <c r="I17" i="4"/>
  <c r="I20" i="4" s="1"/>
  <c r="I65" i="4" s="1"/>
  <c r="N65" i="4"/>
  <c r="E64" i="4"/>
  <c r="M64" i="4"/>
  <c r="M65" i="4" s="1"/>
  <c r="D65" i="4"/>
  <c r="L65" i="4"/>
  <c r="C17" i="4"/>
  <c r="C37" i="4"/>
  <c r="O37" i="4" s="1"/>
  <c r="E5" i="4"/>
  <c r="E17" i="4" s="1"/>
  <c r="E20" i="4" s="1"/>
  <c r="J11" i="4"/>
  <c r="J10" i="4" s="1"/>
  <c r="J17" i="4" s="1"/>
  <c r="J20" i="4" s="1"/>
  <c r="J65" i="4" s="1"/>
  <c r="N11" i="3"/>
  <c r="O12" i="2"/>
  <c r="E65" i="4" l="1"/>
  <c r="O17" i="4"/>
  <c r="C20" i="4"/>
  <c r="O20" i="4" s="1"/>
  <c r="O5" i="4"/>
  <c r="O11" i="4"/>
  <c r="O10" i="4"/>
  <c r="C65" i="4" l="1"/>
  <c r="O65" i="4" l="1"/>
  <c r="C68" i="4"/>
  <c r="D67" i="4" s="1"/>
  <c r="D68" i="4" s="1"/>
  <c r="E67" i="4" s="1"/>
  <c r="E68" i="4" s="1"/>
  <c r="F67" i="4" s="1"/>
  <c r="F68" i="4" s="1"/>
  <c r="G67" i="4" s="1"/>
  <c r="G68" i="4" s="1"/>
  <c r="H67" i="4" s="1"/>
  <c r="H68" i="4" s="1"/>
  <c r="I67" i="4" s="1"/>
  <c r="I68" i="4" s="1"/>
  <c r="J67" i="4" s="1"/>
  <c r="J68" i="4" s="1"/>
  <c r="K67" i="4" s="1"/>
  <c r="K68" i="4" s="1"/>
  <c r="L67" i="4" s="1"/>
  <c r="L68" i="4" s="1"/>
  <c r="M67" i="4" s="1"/>
  <c r="M68" i="4" s="1"/>
  <c r="N67" i="4" s="1"/>
  <c r="N68" i="4" s="1"/>
  <c r="O68" i="4" s="1"/>
  <c r="O41" i="2"/>
  <c r="O57" i="2" l="1"/>
  <c r="O56" i="2"/>
  <c r="O54" i="2"/>
  <c r="O53" i="2"/>
  <c r="O45" i="2"/>
  <c r="O44" i="2"/>
  <c r="O42" i="2"/>
  <c r="O11" i="2" l="1"/>
  <c r="O52" i="2"/>
  <c r="O55" i="2"/>
  <c r="O43" i="2"/>
  <c r="O40" i="2"/>
  <c r="O13" i="2" l="1"/>
  <c r="O7" i="2"/>
  <c r="O6" i="2"/>
  <c r="O67" i="2" l="1"/>
  <c r="O60" i="2"/>
  <c r="O61" i="2"/>
  <c r="O62" i="2"/>
  <c r="O63" i="2"/>
  <c r="O58" i="2"/>
  <c r="O59" i="2"/>
  <c r="O46" i="2"/>
  <c r="O47" i="2"/>
  <c r="O48" i="2"/>
  <c r="O49" i="2"/>
  <c r="O50" i="2"/>
  <c r="O32" i="2"/>
  <c r="O33" i="2"/>
  <c r="O34" i="2"/>
  <c r="O35" i="2"/>
  <c r="O36" i="2"/>
  <c r="O23" i="2"/>
  <c r="O24" i="2"/>
  <c r="O25" i="2"/>
  <c r="O26" i="2"/>
  <c r="O27" i="2"/>
  <c r="O28" i="2"/>
  <c r="O29" i="2"/>
  <c r="O30" i="2"/>
  <c r="O18" i="2"/>
  <c r="O4" i="2"/>
  <c r="O9" i="2"/>
  <c r="O10" i="2"/>
  <c r="O14" i="2"/>
  <c r="O15" i="2"/>
  <c r="O16" i="2"/>
  <c r="O3" i="2"/>
  <c r="O22" i="2"/>
  <c r="O51" i="2" l="1"/>
  <c r="O31" i="2"/>
  <c r="O37" i="2" l="1"/>
  <c r="O39" i="2" l="1"/>
  <c r="O64" i="2" s="1"/>
  <c r="O68" i="2" l="1"/>
  <c r="O8" i="2" l="1"/>
  <c r="D73" i="2" l="1"/>
  <c r="D72" i="2"/>
  <c r="O5" i="2"/>
  <c r="D75" i="2" l="1"/>
  <c r="O17" i="2"/>
  <c r="O20" i="2" l="1"/>
  <c r="O6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Regalado</author>
  </authors>
  <commentList>
    <comment ref="A7" authorId="0" shapeId="0" xr:uid="{E874EFE0-067D-415A-B5BE-56098046DC70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Excluding IFRS 16 contracts whose payments are included in financing in the line "Payment of lease liabilities"</t>
        </r>
      </text>
    </comment>
    <comment ref="A41" authorId="0" shapeId="0" xr:uid="{957626DC-EB5B-4B97-8FF1-47FAF3A7BBF6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44" authorId="0" shapeId="0" xr:uid="{8C9D0146-C391-46C3-9DE0-34ED3F859247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49" authorId="0" shapeId="0" xr:uid="{48E39FD8-8712-4427-9487-5FA50BE739D0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Derivatives not related to commodities. Derivatives related to commodities are reflected in operational flows in Receipts / Payments related to derivatives (commodities)</t>
        </r>
      </text>
    </comment>
    <comment ref="A53" authorId="0" shapeId="0" xr:uid="{D9ACEFC5-E696-4DC1-96E7-44CDEEE6F18C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56" authorId="0" shapeId="0" xr:uid="{82049E61-EDE4-4EB4-83A7-34DCBCB967C1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61" authorId="0" shapeId="0" xr:uid="{93208196-B86C-44A2-8027-CC2FD9D04690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Derivatives not related to commodities. Derivatives related to commodities are reflected in operational flows in Receipts / Payments related to derivatives (commodities)</t>
        </r>
      </text>
    </comment>
    <comment ref="O68" authorId="0" shapeId="0" xr:uid="{97D7DD69-D206-417C-81B2-442E882A8D07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Link to the corresponding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Regalado</author>
  </authors>
  <commentList>
    <comment ref="A7" authorId="0" shapeId="0" xr:uid="{EF20E00B-04CB-4242-835A-B468B8AC66A5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8" authorId="0" shapeId="0" xr:uid="{F01924E3-95A3-4F09-AD41-F24532F8B2FA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10" authorId="0" shapeId="0" xr:uid="{151AF3CD-1191-4D3D-93D3-A7ABA8A3254B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Regalado</author>
    <author>Ye-Chan Hur</author>
  </authors>
  <commentList>
    <comment ref="A7" authorId="0" shapeId="0" xr:uid="{DBCD2710-694A-453C-AF42-D5B4C17DBF71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Excluding IFRS 16 contracts whose payments are included in financing in the line "Payment of lease liabilities"</t>
        </r>
      </text>
    </comment>
    <comment ref="K32" authorId="1" shapeId="0" xr:uid="{C4BFB4FF-F311-4D9F-8E23-E199AB108661}">
      <text>
        <r>
          <rPr>
            <b/>
            <sz val="9"/>
            <color indexed="81"/>
            <rFont val="Tahoma"/>
            <family val="2"/>
          </rPr>
          <t>Ye-Chan Hur:</t>
        </r>
        <r>
          <rPr>
            <sz val="9"/>
            <color indexed="81"/>
            <rFont val="Tahoma"/>
            <family val="2"/>
          </rPr>
          <t xml:space="preserve">
Group insurance
</t>
        </r>
      </text>
    </comment>
    <comment ref="A41" authorId="0" shapeId="0" xr:uid="{8E014024-99B0-49CB-B034-A58DE55A29E7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44" authorId="0" shapeId="0" xr:uid="{E7F6909A-1273-4922-B930-EF48C897C4D0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49" authorId="0" shapeId="0" xr:uid="{6E06CD31-F345-4193-8C32-4A9052E5316B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Derivatives not related to commodities. Derivatives related to commodities are reflected in operational flows in Receipts / Payments related to derivatives (commodities)</t>
        </r>
      </text>
    </comment>
    <comment ref="A53" authorId="0" shapeId="0" xr:uid="{8E77BC8B-DE9A-4B09-95AD-A20107EE614A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56" authorId="0" shapeId="0" xr:uid="{4E873998-9694-4C80-AB39-0B55FE78239E}">
      <text>
        <r>
          <rPr>
            <b/>
            <sz val="9"/>
            <color indexed="81"/>
            <rFont val="Tahoma"/>
            <family val="2"/>
          </rPr>
          <t xml:space="preserve">Jorge Regalado:
</t>
        </r>
        <r>
          <rPr>
            <sz val="9"/>
            <color indexed="81"/>
            <rFont val="Tahoma"/>
            <family val="2"/>
          </rPr>
          <t>Flows with EDPR Group companies</t>
        </r>
      </text>
    </comment>
    <comment ref="A61" authorId="0" shapeId="0" xr:uid="{0334E139-C527-455F-8C0B-BEA4703BED60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Derivatives not related to commodities. Derivatives related to commodities are reflected in operational flows in Receipts / Payments related to derivatives (commodities)</t>
        </r>
      </text>
    </comment>
    <comment ref="C67" authorId="0" shapeId="0" xr:uid="{84B42550-46AF-492E-985B-1234F4D44557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Include cash balance as of December 31, 2020</t>
        </r>
      </text>
    </comment>
    <comment ref="O68" authorId="0" shapeId="0" xr:uid="{FAB7753B-1252-42B9-8E26-88A96E18CC9C}">
      <text>
        <r>
          <rPr>
            <b/>
            <sz val="9"/>
            <color indexed="81"/>
            <rFont val="Tahoma"/>
            <family val="2"/>
          </rPr>
          <t>Jorge Regalado:</t>
        </r>
        <r>
          <rPr>
            <sz val="9"/>
            <color indexed="81"/>
            <rFont val="Tahoma"/>
            <family val="2"/>
          </rPr>
          <t xml:space="preserve">
Link to the corresponding month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tc={E692701D-A968-4E3F-9865-0F9FD6D4867E}</author>
    <author>tc={75E967C5-2717-42AA-9DF2-440393E681EA}</author>
  </authors>
  <commentList>
    <comment ref="M8" authorId="0" shapeId="0" xr:uid="{E692701D-A968-4E3F-9865-0F9FD6D4867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Not paid in November</t>
      </text>
    </comment>
    <comment ref="N8" authorId="1" shapeId="0" xr:uid="{75E967C5-2717-42AA-9DF2-440393E681E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Nov, Dec, 2023 Jan</t>
      </text>
    </comment>
  </commentList>
</comments>
</file>

<file path=xl/sharedStrings.xml><?xml version="1.0" encoding="utf-8"?>
<sst xmlns="http://schemas.openxmlformats.org/spreadsheetml/2006/main" count="341" uniqueCount="158">
  <si>
    <t>Liquidity Item</t>
  </si>
  <si>
    <t>Accumulated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</si>
  <si>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</si>
  <si>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</si>
  <si>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</si>
  <si>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</si>
  <si>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</si>
  <si>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</si>
  <si>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</si>
  <si>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</si>
  <si>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</si>
  <si>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</si>
  <si>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</si>
  <si>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</si>
  <si>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Operating Activities</t>
  </si>
  <si>
    <t xml:space="preserve">     Cash receipts from customers</t>
  </si>
  <si>
    <t>OA_BLACK_TP</t>
  </si>
  <si>
    <t xml:space="preserve">     Cash paid to suppliers</t>
  </si>
  <si>
    <t>OA_OTHER_SS_TP</t>
  </si>
  <si>
    <t xml:space="preserve">     Cash paid to personnel</t>
  </si>
  <si>
    <t>OA_PERSONNEL</t>
  </si>
  <si>
    <t xml:space="preserve">     Other receipts / (payments) relating to operating activities</t>
  </si>
  <si>
    <t xml:space="preserve">          State and Other Public Entities</t>
  </si>
  <si>
    <t>OA_VAT_OUT</t>
  </si>
  <si>
    <t xml:space="preserve">          Guarantees received / (paid)</t>
  </si>
  <si>
    <t>OA_GUARANTEES</t>
  </si>
  <si>
    <t xml:space="preserve">          Other Municipal and tax Payments</t>
  </si>
  <si>
    <t>OA_CONCESSIONS</t>
  </si>
  <si>
    <t xml:space="preserve">          Other receipts / (payments)</t>
  </si>
  <si>
    <t>OA_OTHERS_OTHERS</t>
  </si>
  <si>
    <t xml:space="preserve">     Net cash flows from operations</t>
  </si>
  <si>
    <t xml:space="preserve">     Income tax received (CASH-IN)</t>
  </si>
  <si>
    <t>OA_INCOMETAX_IN</t>
  </si>
  <si>
    <t xml:space="preserve">     Income tax paid (CASH-OUT)</t>
  </si>
  <si>
    <t>OA_INCOMETAX_OUT</t>
  </si>
  <si>
    <t xml:space="preserve">     Net cash flows from operating activities</t>
  </si>
  <si>
    <t xml:space="preserve">     Investing Activities</t>
  </si>
  <si>
    <t xml:space="preserve">     Cash receipts relating to:</t>
  </si>
  <si>
    <t xml:space="preserve">          Changes in cash resulting from perimeter variations (CASH-IN</t>
  </si>
  <si>
    <t>IA_CHANGESPER_IN</t>
  </si>
  <si>
    <t xml:space="preserve">          Financial assets (CASH-IN) / Sale of assets - subsidiaries</t>
  </si>
  <si>
    <t>IA_FINASSETS_IN</t>
  </si>
  <si>
    <t xml:space="preserve">          Property, plant and equipment (CASH-IN)</t>
  </si>
  <si>
    <t>IA_TANGIBLE_IN</t>
  </si>
  <si>
    <t xml:space="preserve">          Intangible assets (CASH-IN)</t>
  </si>
  <si>
    <t>IA_INTANGIB_IN</t>
  </si>
  <si>
    <t xml:space="preserve">          Loans to related parties (CASH-IN)</t>
  </si>
  <si>
    <t>IA_GRLOANS_IN</t>
  </si>
  <si>
    <t xml:space="preserve">          Subsidies for investment</t>
  </si>
  <si>
    <t>IA_SUBSIDIES</t>
  </si>
  <si>
    <t xml:space="preserve">          Interest and similar income</t>
  </si>
  <si>
    <t>IA_INTEREST_SIM</t>
  </si>
  <si>
    <t xml:space="preserve">          Dividends received</t>
  </si>
  <si>
    <t>IA_DIVIDENDS</t>
  </si>
  <si>
    <t xml:space="preserve">     Cash payments relating to:</t>
  </si>
  <si>
    <t xml:space="preserve">          Financial assets (CASH-OUT) / Acquisition of assets – subsid</t>
  </si>
  <si>
    <t>IA_FINASSETS_OUT</t>
  </si>
  <si>
    <t xml:space="preserve">          Changes in cash resulting from perimeter variations</t>
  </si>
  <si>
    <t>IA_CHANGES_PERIM</t>
  </si>
  <si>
    <t xml:space="preserve">          Property, plant and equipment (CASH-OUT)</t>
  </si>
  <si>
    <t>IA_TANGIBLE_OUT</t>
  </si>
  <si>
    <t xml:space="preserve">          Intangible assets (CASH-OUT)</t>
  </si>
  <si>
    <t>IA_INTANGIB_OUT</t>
  </si>
  <si>
    <t xml:space="preserve">          Loans to related parties (CASH-OUT)</t>
  </si>
  <si>
    <t>IA_GRLOANS_OUT</t>
  </si>
  <si>
    <t xml:space="preserve">     Net cash flows from investing activities</t>
  </si>
  <si>
    <t xml:space="preserve">     Financing Activities</t>
  </si>
  <si>
    <t xml:space="preserve">          Receipts of loans</t>
  </si>
  <si>
    <t>FA_GRLOANS_IN</t>
  </si>
  <si>
    <t xml:space="preserve">          Interest and similar income including hedge derivatives</t>
  </si>
  <si>
    <t>FA_GRINTERES_IN</t>
  </si>
  <si>
    <t xml:space="preserve">          Share capital increases (CASH-IN)</t>
  </si>
  <si>
    <t>FA_CAPITAL_IN</t>
  </si>
  <si>
    <t xml:space="preserve">          Subsidies and donations</t>
  </si>
  <si>
    <t>FA_SUBSIDIES</t>
  </si>
  <si>
    <t xml:space="preserve">          Share capital increases by non-controlling interests (CASH-I</t>
  </si>
  <si>
    <t>FA_CAPIT_NCI_IN</t>
  </si>
  <si>
    <t xml:space="preserve">          Receipts of derivative financial instruments</t>
  </si>
  <si>
    <t>FA_DERIV_IN</t>
  </si>
  <si>
    <t xml:space="preserve">          Receipts from wind activity institutional partnership - USA</t>
  </si>
  <si>
    <t>FA_TAXEQ_IN</t>
  </si>
  <si>
    <t xml:space="preserve">          Payments of loans</t>
  </si>
  <si>
    <t>FA_GRLOANS_OUT</t>
  </si>
  <si>
    <t xml:space="preserve">          Interest and similar expenses including hedge derivatives</t>
  </si>
  <si>
    <t>FA_GRINTERES_OUT</t>
  </si>
  <si>
    <t xml:space="preserve">          Share capital decreases  (CASH-OUT)</t>
  </si>
  <si>
    <t>FA_CAPITAL_OUT</t>
  </si>
  <si>
    <t xml:space="preserve">          Share capital decreases by non-controlling interests (CASH-O</t>
  </si>
  <si>
    <t>FA_CAPIT_NCI_OUT</t>
  </si>
  <si>
    <t xml:space="preserve">     Payment of lease liabilities</t>
  </si>
  <si>
    <t>FA_PAYMENTLEASE</t>
  </si>
  <si>
    <t xml:space="preserve">     Payments of derivative financial instruments</t>
  </si>
  <si>
    <t>FA_DERIV_OUT</t>
  </si>
  <si>
    <t xml:space="preserve">     Dividends paid</t>
  </si>
  <si>
    <t>FA_DIVIDENDS_TP</t>
  </si>
  <si>
    <t xml:space="preserve">     Payments from wind activity institutional partnership - USA</t>
  </si>
  <si>
    <t>FA_TAXEQ_OUT</t>
  </si>
  <si>
    <t xml:space="preserve">     Net cash flows from financing activities</t>
  </si>
  <si>
    <t xml:space="preserve">     Net cash and cash equivalents</t>
  </si>
  <si>
    <t xml:space="preserve">     Effect of exchange rate fluctuations on cash held</t>
  </si>
  <si>
    <t>EXCHANGE_RATES</t>
  </si>
  <si>
    <t xml:space="preserve">     Cash and cash equivalents at the beginning of the period</t>
  </si>
  <si>
    <t>BALANCE_INI</t>
  </si>
  <si>
    <t xml:space="preserve">     Cash and cash equivalents at the end of the period</t>
  </si>
  <si>
    <t>SF</t>
  </si>
  <si>
    <t>Company</t>
  </si>
  <si>
    <t>Currency</t>
  </si>
  <si>
    <t xml:space="preserve">          Cash paid for leases and Rents</t>
  </si>
  <si>
    <t xml:space="preserve">          Cash paid to other suppliers</t>
  </si>
  <si>
    <t xml:space="preserve">               VAT</t>
  </si>
  <si>
    <t xml:space="preserve">               Other Taxes</t>
  </si>
  <si>
    <t>OA_OM_TP</t>
  </si>
  <si>
    <t>OA_LEASES</t>
  </si>
  <si>
    <t>OA_OTHERTAX_OUT</t>
  </si>
  <si>
    <t xml:space="preserve">          Cash paid for O&amp;M (Operation &amp; maintenace costs)</t>
  </si>
  <si>
    <t>Please, only include figures in green cells</t>
  </si>
  <si>
    <t xml:space="preserve">Include counterparty information in payments / collections with related parties </t>
  </si>
  <si>
    <t>Please include receipts with a positive sign and payments with a negative sign.</t>
  </si>
  <si>
    <t>Payments related to capitalized costs as fixed assets should be reflected in investment flows (Property, plant and equipment (CASH-OUT).</t>
  </si>
  <si>
    <t xml:space="preserve">               Loans with the Group (CASH-IN)</t>
  </si>
  <si>
    <t xml:space="preserve">               Loans with third parties(CASH-IN)</t>
  </si>
  <si>
    <t xml:space="preserve">               Interest with the Group(CASH-IN)</t>
  </si>
  <si>
    <t xml:space="preserve">               Interest with third parties(CASH-IN)</t>
  </si>
  <si>
    <t>FA_TPLOANS_IN</t>
  </si>
  <si>
    <t>FA_TPINTERES_IN</t>
  </si>
  <si>
    <t xml:space="preserve">               Loans with the Group (CASH-OUT)</t>
  </si>
  <si>
    <t xml:space="preserve">               Loans with third parties(CASH-OUT)</t>
  </si>
  <si>
    <t xml:space="preserve">               Interest with the Group(CASH-OUT)</t>
  </si>
  <si>
    <t xml:space="preserve">               Interest with third parties(CASH-OUT)</t>
  </si>
  <si>
    <t>FA_TPLOANS_OUT</t>
  </si>
  <si>
    <t>FA_TPINTERES_OUT</t>
  </si>
  <si>
    <t>LPSK</t>
  </si>
  <si>
    <t>KRW</t>
  </si>
  <si>
    <t>Cash paid for leases and Rents</t>
  </si>
  <si>
    <t>(KRW)</t>
    <phoneticPr fontId="24" type="noConversion"/>
  </si>
  <si>
    <t>Details</t>
    <phoneticPr fontId="24" type="noConversion"/>
  </si>
  <si>
    <t>Monthly room rental fee</t>
    <phoneticPr fontId="24" type="noConversion"/>
  </si>
  <si>
    <t>CAR RENTAL (BMW 520i Iux Lci60)-Deposit (30%)</t>
    <phoneticPr fontId="24" type="noConversion"/>
  </si>
  <si>
    <t xml:space="preserve">CAR RENTAL FEE </t>
    <phoneticPr fontId="24" type="noConversion"/>
  </si>
  <si>
    <t>EDPR KR-Office sublease-Deposit</t>
  </si>
  <si>
    <t>EDPR KR-Office sublease-Monthly lease</t>
    <phoneticPr fontId="24" type="noConversion"/>
  </si>
  <si>
    <t>Office rent/management fee_March, April, May</t>
  </si>
  <si>
    <t>Total</t>
    <phoneticPr fontId="24" type="noConversion"/>
  </si>
  <si>
    <t>August</t>
    <phoneticPr fontId="24" type="noConversion"/>
  </si>
  <si>
    <t>September</t>
    <phoneticPr fontId="24" type="noConversion"/>
  </si>
  <si>
    <t>October</t>
    <phoneticPr fontId="24" type="noConversion"/>
  </si>
  <si>
    <t>November</t>
    <phoneticPr fontId="24" type="noConversion"/>
  </si>
  <si>
    <t>December</t>
    <phoneticPr fontId="24" type="noConversion"/>
  </si>
  <si>
    <t>2023 Cash paid for leases and Rents</t>
    <phoneticPr fontId="24" type="noConversion"/>
  </si>
  <si>
    <t>2024 Cash paid for leases and Rents</t>
    <phoneticPr fontId="24" type="noConversion"/>
  </si>
  <si>
    <t xml:space="preserve">          Other receipts / (payments)</t>
    <phoneticPr fontId="24" type="noConversion"/>
  </si>
  <si>
    <t>Being return of deposit from landlord</t>
  </si>
  <si>
    <t>transfer (Shinhan -&gt; HSBC)</t>
  </si>
  <si>
    <t>Being payment to Green Cross I-Med for healthcare screening fee</t>
  </si>
  <si>
    <t>Monthly IT Maintenance Service fee</t>
  </si>
  <si>
    <t>Being payment of office reinstatement fee to M2 Design</t>
  </si>
  <si>
    <t>Being payment of management fees to SSG</t>
  </si>
  <si>
    <t xml:space="preserve">VAT refund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</si>
</sst>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\ _€_-;\-* #,##0.00\ _€_-;_-* &quot;-&quot;??\ _€_-;_-@_-"/>
    <numFmt numFmtId="179" formatCode="_(* #,##0_);_(* \(#,##0\);_(* &quot;-&quot;??_);_(@_)"/>
    <numFmt numFmtId="180" formatCode="_-* #,##0.00\ &quot;₫&quot;_-;\-* #,##0.00\ &quot;₫&quot;_-;_-* &quot;-&quot;??\ &quot;₫&quot;_-;_-@_-"/>
    <numFmt numFmtId="181" formatCode="_-* #,##0.00\ _₫_-;\-* #,##0.00\ _₫_-;_-* &quot;-&quot;??\ _₫_-;_-@_-"/>
    <numFmt numFmtId="182" formatCode="_(* #,##0.00_);_(* \(#,##0.00\);_(* \-??_);_(@_)"/>
    <numFmt numFmtId="183" formatCode="_(* #,##0_);_(* \(#,##0\);_(* \-_);_(@_)"/>
    <numFmt numFmtId="184" formatCode="###,###,###"/>
    <numFmt numFmtId="185" formatCode="_-* #,##0.00_-;\-* #,##0.00_-;_-* &quot;-&quot;_-;_-@_-"/>
  </numFmts>
  <fonts count="3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i/>
      <sz val="12"/>
      <color theme="0"/>
      <name val="맑은 고딕"/>
      <family val="2"/>
      <scheme val="minor"/>
    </font>
    <font>
      <sz val="11"/>
      <color theme="1"/>
      <name val="맑은 고딕"/>
      <family val="2"/>
      <charset val="204"/>
      <scheme val="minor"/>
    </font>
    <font>
      <b/>
      <i/>
      <sz val="11"/>
      <name val="맑은 고딕"/>
      <family val="2"/>
      <charset val="204"/>
      <scheme val="minor"/>
    </font>
    <font>
      <sz val="11"/>
      <name val="맑은 고딕"/>
      <family val="2"/>
      <charset val="204"/>
      <scheme val="minor"/>
    </font>
    <font>
      <b/>
      <i/>
      <sz val="11"/>
      <name val="맑은 고딕"/>
      <family val="2"/>
      <scheme val="minor"/>
    </font>
    <font>
      <sz val="10"/>
      <name val="Arial"/>
      <family val="2"/>
      <charset val="238"/>
    </font>
    <font>
      <b/>
      <sz val="11"/>
      <name val="맑은 고딕"/>
      <family val="2"/>
      <scheme val="minor"/>
    </font>
    <font>
      <i/>
      <sz val="11"/>
      <name val="맑은 고딕"/>
      <family val="2"/>
      <charset val="20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맑은 고딕"/>
      <family val="2"/>
      <charset val="163"/>
      <scheme val="minor"/>
    </font>
    <font>
      <sz val="10"/>
      <name val="VNI-Times"/>
    </font>
    <font>
      <sz val="10"/>
      <name val="Arial"/>
      <family val="2"/>
    </font>
    <font>
      <sz val="11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맑은 고딕"/>
      <family val="2"/>
      <scheme val="minor"/>
    </font>
    <font>
      <sz val="12"/>
      <color indexed="81"/>
      <name val="Tahoma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BatangChe"/>
      <family val="1"/>
      <charset val="129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4" tint="-0.24994659260841701"/>
        <bgColor auto="1"/>
      </patternFill>
    </fill>
    <fill>
      <patternFill patternType="solid">
        <fgColor theme="0" tint="-0.499984740745262"/>
        <bgColor theme="5" tint="0.79989013336588644"/>
      </patternFill>
    </fill>
    <fill>
      <patternFill patternType="solid">
        <fgColor rgb="FF739BC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CADD4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A6BFD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9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0"/>
    <xf numFmtId="177" fontId="9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15" fillId="0" borderId="0"/>
    <xf numFmtId="182" fontId="15" fillId="0" borderId="0" applyFill="0" applyBorder="0" applyAlignment="0" applyProtection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178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  <xf numFmtId="182" fontId="16" fillId="0" borderId="0" applyFill="0" applyBorder="0" applyAlignment="0" applyProtection="0"/>
    <xf numFmtId="183" fontId="16" fillId="0" borderId="0" applyFill="0" applyBorder="0" applyAlignment="0" applyProtection="0"/>
    <xf numFmtId="0" fontId="16" fillId="0" borderId="0"/>
    <xf numFmtId="0" fontId="15" fillId="0" borderId="0"/>
    <xf numFmtId="0" fontId="17" fillId="0" borderId="0"/>
    <xf numFmtId="182" fontId="15" fillId="0" borderId="0" applyFill="0" applyBorder="0" applyAlignment="0" applyProtection="0"/>
    <xf numFmtId="178" fontId="17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81" fontId="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6" fillId="0" borderId="0"/>
    <xf numFmtId="181" fontId="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4" fillId="0" borderId="0"/>
    <xf numFmtId="181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6" fillId="0" borderId="0"/>
    <xf numFmtId="0" fontId="19" fillId="0" borderId="0" applyNumberFormat="0" applyFill="0" applyBorder="0" applyAlignment="0" applyProtection="0"/>
    <xf numFmtId="0" fontId="1" fillId="0" borderId="0"/>
    <xf numFmtId="0" fontId="14" fillId="0" borderId="0"/>
    <xf numFmtId="0" fontId="1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0" fontId="14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181" fontId="14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1" fontId="1" fillId="0" borderId="0" applyFont="0" applyFill="0" applyBorder="0" applyAlignment="0" applyProtection="0">
      <alignment vertical="center"/>
    </xf>
  </cellStyleXfs>
  <cellXfs count="112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1" fillId="0" borderId="0" xfId="3" applyFont="1"/>
    <xf numFmtId="49" fontId="6" fillId="6" borderId="1" xfId="1" applyNumberFormat="1" applyFont="1" applyFill="1" applyBorder="1" applyAlignment="1">
      <alignment horizontal="left" vertical="center"/>
    </xf>
    <xf numFmtId="0" fontId="7" fillId="7" borderId="1" xfId="2" applyFont="1" applyFill="1" applyBorder="1" applyAlignment="1">
      <alignment horizontal="center" vertical="center" wrapText="1"/>
    </xf>
    <xf numFmtId="0" fontId="5" fillId="0" borderId="0" xfId="3"/>
    <xf numFmtId="49" fontId="8" fillId="8" borderId="1" xfId="1" applyNumberFormat="1" applyFont="1" applyFill="1" applyBorder="1" applyAlignment="1">
      <alignment horizontal="left" vertical="center"/>
    </xf>
    <xf numFmtId="179" fontId="7" fillId="9" borderId="1" xfId="4" applyNumberFormat="1" applyFont="1" applyFill="1" applyBorder="1" applyAlignment="1">
      <alignment horizontal="center" vertical="center" wrapText="1"/>
    </xf>
    <xf numFmtId="179" fontId="10" fillId="9" borderId="1" xfId="4" applyNumberFormat="1" applyFont="1" applyFill="1" applyBorder="1" applyAlignment="1">
      <alignment horizontal="center" vertical="center" wrapText="1"/>
    </xf>
    <xf numFmtId="0" fontId="2" fillId="0" borderId="0" xfId="3" applyFont="1"/>
    <xf numFmtId="49" fontId="11" fillId="8" borderId="1" xfId="1" applyNumberFormat="1" applyFont="1" applyFill="1" applyBorder="1" applyAlignment="1">
      <alignment horizontal="left" vertical="center"/>
    </xf>
    <xf numFmtId="49" fontId="11" fillId="10" borderId="1" xfId="1" applyNumberFormat="1" applyFont="1" applyFill="1" applyBorder="1" applyAlignment="1">
      <alignment horizontal="left" vertical="center"/>
    </xf>
    <xf numFmtId="49" fontId="11" fillId="8" borderId="2" xfId="1" applyNumberFormat="1" applyFont="1" applyFill="1" applyBorder="1" applyAlignment="1">
      <alignment horizontal="left" vertical="center"/>
    </xf>
    <xf numFmtId="49" fontId="8" fillId="8" borderId="3" xfId="1" applyNumberFormat="1" applyFont="1" applyFill="1" applyBorder="1" applyAlignment="1">
      <alignment horizontal="left" vertical="center"/>
    </xf>
    <xf numFmtId="49" fontId="8" fillId="8" borderId="4" xfId="1" applyNumberFormat="1" applyFont="1" applyFill="1" applyBorder="1" applyAlignment="1">
      <alignment horizontal="left" vertical="center"/>
    </xf>
    <xf numFmtId="179" fontId="10" fillId="9" borderId="6" xfId="4" applyNumberFormat="1" applyFont="1" applyFill="1" applyBorder="1" applyAlignment="1">
      <alignment horizontal="center" vertical="center" wrapText="1"/>
    </xf>
    <xf numFmtId="49" fontId="8" fillId="8" borderId="7" xfId="1" applyNumberFormat="1" applyFont="1" applyFill="1" applyBorder="1" applyAlignment="1">
      <alignment horizontal="left" vertical="center"/>
    </xf>
    <xf numFmtId="179" fontId="7" fillId="9" borderId="7" xfId="4" applyNumberFormat="1" applyFont="1" applyFill="1" applyBorder="1" applyAlignment="1">
      <alignment horizontal="center" vertical="center" wrapText="1"/>
    </xf>
    <xf numFmtId="179" fontId="5" fillId="0" borderId="0" xfId="3" applyNumberFormat="1"/>
    <xf numFmtId="0" fontId="10" fillId="9" borderId="1" xfId="2" applyFont="1" applyFill="1" applyBorder="1" applyAlignment="1">
      <alignment horizontal="center" vertical="center" wrapText="1"/>
    </xf>
    <xf numFmtId="4" fontId="4" fillId="5" borderId="1" xfId="2" applyNumberFormat="1" applyFont="1" applyFill="1" applyBorder="1" applyAlignment="1">
      <alignment horizontal="center" vertical="center" wrapText="1"/>
    </xf>
    <xf numFmtId="4" fontId="7" fillId="7" borderId="7" xfId="5" applyNumberFormat="1" applyFont="1" applyFill="1" applyBorder="1" applyAlignment="1">
      <alignment horizontal="center" vertical="center" wrapText="1"/>
    </xf>
    <xf numFmtId="4" fontId="7" fillId="9" borderId="1" xfId="5" applyNumberFormat="1" applyFont="1" applyFill="1" applyBorder="1" applyAlignment="1">
      <alignment horizontal="center" vertical="center" wrapText="1"/>
    </xf>
    <xf numFmtId="4" fontId="5" fillId="0" borderId="0" xfId="3" applyNumberFormat="1"/>
    <xf numFmtId="49" fontId="11" fillId="10" borderId="1" xfId="7" applyNumberFormat="1" applyFont="1" applyFill="1" applyBorder="1" applyAlignment="1">
      <alignment horizontal="left" vertical="center"/>
    </xf>
    <xf numFmtId="3" fontId="7" fillId="13" borderId="1" xfId="4" applyNumberFormat="1" applyFont="1" applyFill="1" applyBorder="1" applyAlignment="1">
      <alignment horizontal="center" vertical="center" wrapText="1"/>
    </xf>
    <xf numFmtId="3" fontId="7" fillId="11" borderId="1" xfId="4" applyNumberFormat="1" applyFont="1" applyFill="1" applyBorder="1" applyAlignment="1">
      <alignment horizontal="center" vertical="center" wrapText="1"/>
    </xf>
    <xf numFmtId="3" fontId="7" fillId="9" borderId="7" xfId="4" applyNumberFormat="1" applyFont="1" applyFill="1" applyBorder="1" applyAlignment="1">
      <alignment horizontal="center" vertical="center" wrapText="1"/>
    </xf>
    <xf numFmtId="3" fontId="7" fillId="9" borderId="1" xfId="2" applyNumberFormat="1" applyFont="1" applyFill="1" applyBorder="1" applyAlignment="1">
      <alignment horizontal="center" vertical="center" wrapText="1"/>
    </xf>
    <xf numFmtId="3" fontId="10" fillId="9" borderId="6" xfId="4" applyNumberFormat="1" applyFont="1" applyFill="1" applyBorder="1" applyAlignment="1">
      <alignment horizontal="center" vertical="center" wrapText="1"/>
    </xf>
    <xf numFmtId="3" fontId="10" fillId="9" borderId="5" xfId="4" applyNumberFormat="1" applyFont="1" applyFill="1" applyBorder="1" applyAlignment="1">
      <alignment horizontal="center" vertical="center" wrapText="1"/>
    </xf>
    <xf numFmtId="3" fontId="7" fillId="13" borderId="2" xfId="6" applyNumberFormat="1" applyFont="1" applyFill="1" applyBorder="1" applyAlignment="1">
      <alignment horizontal="center" vertical="center" wrapText="1"/>
    </xf>
    <xf numFmtId="3" fontId="7" fillId="13" borderId="1" xfId="2" applyNumberFormat="1" applyFont="1" applyFill="1" applyBorder="1" applyAlignment="1">
      <alignment horizontal="center" vertical="center" wrapText="1"/>
    </xf>
    <xf numFmtId="3" fontId="7" fillId="13" borderId="1" xfId="6" applyNumberFormat="1" applyFont="1" applyFill="1" applyBorder="1" applyAlignment="1">
      <alignment horizontal="center" vertical="center" wrapText="1"/>
    </xf>
    <xf numFmtId="3" fontId="7" fillId="9" borderId="1" xfId="4" applyNumberFormat="1" applyFont="1" applyFill="1" applyBorder="1" applyAlignment="1">
      <alignment horizontal="center" vertical="center" wrapText="1"/>
    </xf>
    <xf numFmtId="3" fontId="7" fillId="13" borderId="1" xfId="5" applyNumberFormat="1" applyFont="1" applyFill="1" applyBorder="1" applyAlignment="1">
      <alignment horizontal="center" vertical="center" wrapText="1"/>
    </xf>
    <xf numFmtId="3" fontId="7" fillId="9" borderId="7" xfId="2" applyNumberFormat="1" applyFont="1" applyFill="1" applyBorder="1" applyAlignment="1">
      <alignment horizontal="center" vertical="center" wrapText="1"/>
    </xf>
    <xf numFmtId="3" fontId="7" fillId="13" borderId="2" xfId="4" applyNumberFormat="1" applyFont="1" applyFill="1" applyBorder="1" applyAlignment="1">
      <alignment horizontal="center" vertical="center" wrapText="1"/>
    </xf>
    <xf numFmtId="49" fontId="11" fillId="12" borderId="1" xfId="7" applyNumberFormat="1" applyFont="1" applyFill="1" applyBorder="1" applyAlignment="1">
      <alignment horizontal="left" vertical="center"/>
    </xf>
    <xf numFmtId="4" fontId="7" fillId="9" borderId="1" xfId="4" applyNumberFormat="1" applyFont="1" applyFill="1" applyBorder="1" applyAlignment="1">
      <alignment horizontal="center" vertical="center" wrapText="1"/>
    </xf>
    <xf numFmtId="4" fontId="10" fillId="9" borderId="5" xfId="4" applyNumberFormat="1" applyFont="1" applyFill="1" applyBorder="1" applyAlignment="1">
      <alignment horizontal="center" vertical="center" wrapText="1"/>
    </xf>
    <xf numFmtId="3" fontId="5" fillId="0" borderId="0" xfId="3" applyNumberFormat="1"/>
    <xf numFmtId="0" fontId="25" fillId="0" borderId="0" xfId="0" applyFont="1"/>
    <xf numFmtId="0" fontId="0" fillId="14" borderId="16" xfId="0" applyFill="1" applyBorder="1"/>
    <xf numFmtId="0" fontId="0" fillId="14" borderId="17" xfId="0" applyFill="1" applyBorder="1"/>
    <xf numFmtId="0" fontId="0" fillId="0" borderId="2" xfId="0" applyBorder="1"/>
    <xf numFmtId="3" fontId="0" fillId="0" borderId="18" xfId="0" applyNumberFormat="1" applyBorder="1"/>
    <xf numFmtId="0" fontId="0" fillId="0" borderId="19" xfId="0" applyBorder="1"/>
    <xf numFmtId="3" fontId="0" fillId="0" borderId="0" xfId="0" applyNumberFormat="1"/>
    <xf numFmtId="0" fontId="0" fillId="0" borderId="7" xfId="0" applyBorder="1"/>
    <xf numFmtId="0" fontId="0" fillId="0" borderId="20" xfId="0" applyBorder="1"/>
    <xf numFmtId="3" fontId="0" fillId="0" borderId="20" xfId="0" applyNumberFormat="1" applyBorder="1"/>
    <xf numFmtId="0" fontId="0" fillId="0" borderId="21" xfId="0" applyBorder="1"/>
    <xf numFmtId="3" fontId="25" fillId="0" borderId="20" xfId="0" applyNumberFormat="1" applyFont="1" applyBorder="1"/>
    <xf numFmtId="184" fontId="0" fillId="0" borderId="0" xfId="0" applyNumberFormat="1"/>
    <xf numFmtId="41" fontId="5" fillId="0" borderId="0" xfId="292" applyFont="1" applyAlignment="1"/>
    <xf numFmtId="41" fontId="5" fillId="0" borderId="0" xfId="3" applyNumberFormat="1"/>
    <xf numFmtId="184" fontId="26" fillId="0" borderId="0" xfId="0" applyNumberFormat="1" applyFont="1" applyAlignment="1">
      <alignment horizontal="right" vertical="center"/>
    </xf>
    <xf numFmtId="184" fontId="26" fillId="15" borderId="22" xfId="0" applyNumberFormat="1" applyFont="1" applyFill="1" applyBorder="1" applyAlignment="1">
      <alignment horizontal="right" vertical="center"/>
    </xf>
    <xf numFmtId="0" fontId="26" fillId="15" borderId="22" xfId="0" applyFont="1" applyFill="1" applyBorder="1" applyAlignment="1">
      <alignment horizontal="right" vertical="center"/>
    </xf>
    <xf numFmtId="184" fontId="26" fillId="15" borderId="23" xfId="0" applyNumberFormat="1" applyFont="1" applyFill="1" applyBorder="1" applyAlignment="1">
      <alignment horizontal="right" vertical="center"/>
    </xf>
    <xf numFmtId="0" fontId="26" fillId="15" borderId="23" xfId="0" applyFont="1" applyFill="1" applyBorder="1" applyAlignment="1">
      <alignment horizontal="right" vertical="center"/>
    </xf>
    <xf numFmtId="184" fontId="27" fillId="0" borderId="0" xfId="0" applyNumberFormat="1" applyFont="1"/>
    <xf numFmtId="0" fontId="27" fillId="0" borderId="0" xfId="0" applyFont="1"/>
    <xf numFmtId="41" fontId="27" fillId="0" borderId="0" xfId="292" applyFont="1" applyAlignment="1"/>
    <xf numFmtId="49" fontId="28" fillId="10" borderId="1" xfId="7" applyNumberFormat="1" applyFont="1" applyFill="1" applyBorder="1" applyAlignment="1">
      <alignment horizontal="left" vertical="center"/>
    </xf>
    <xf numFmtId="0" fontId="29" fillId="0" borderId="0" xfId="0" applyFont="1"/>
    <xf numFmtId="49" fontId="28" fillId="8" borderId="1" xfId="1" applyNumberFormat="1" applyFont="1" applyFill="1" applyBorder="1" applyAlignment="1">
      <alignment horizontal="left" vertical="center"/>
    </xf>
    <xf numFmtId="0" fontId="27" fillId="14" borderId="16" xfId="0" applyFont="1" applyFill="1" applyBorder="1"/>
    <xf numFmtId="0" fontId="27" fillId="14" borderId="24" xfId="0" applyFont="1" applyFill="1" applyBorder="1"/>
    <xf numFmtId="49" fontId="28" fillId="10" borderId="1" xfId="1" applyNumberFormat="1" applyFont="1" applyFill="1" applyBorder="1" applyAlignment="1">
      <alignment horizontal="left" vertical="center"/>
    </xf>
    <xf numFmtId="0" fontId="27" fillId="0" borderId="2" xfId="0" applyFont="1" applyBorder="1"/>
    <xf numFmtId="3" fontId="27" fillId="0" borderId="25" xfId="0" applyNumberFormat="1" applyFont="1" applyBorder="1"/>
    <xf numFmtId="0" fontId="27" fillId="0" borderId="19" xfId="0" applyFont="1" applyBorder="1"/>
    <xf numFmtId="3" fontId="27" fillId="0" borderId="26" xfId="0" applyNumberFormat="1" applyFont="1" applyBorder="1"/>
    <xf numFmtId="3" fontId="27" fillId="16" borderId="26" xfId="0" applyNumberFormat="1" applyFont="1" applyFill="1" applyBorder="1"/>
    <xf numFmtId="49" fontId="28" fillId="12" borderId="1" xfId="7" applyNumberFormat="1" applyFont="1" applyFill="1" applyBorder="1" applyAlignment="1">
      <alignment horizontal="left" vertical="center"/>
    </xf>
    <xf numFmtId="0" fontId="27" fillId="0" borderId="7" xfId="0" applyFont="1" applyBorder="1"/>
    <xf numFmtId="184" fontId="27" fillId="0" borderId="27" xfId="0" applyNumberFormat="1" applyFont="1" applyBorder="1"/>
    <xf numFmtId="0" fontId="27" fillId="0" borderId="21" xfId="0" applyFont="1" applyBorder="1"/>
    <xf numFmtId="3" fontId="29" fillId="0" borderId="27" xfId="0" applyNumberFormat="1" applyFont="1" applyBorder="1"/>
    <xf numFmtId="41" fontId="27" fillId="17" borderId="0" xfId="292" applyFont="1" applyFill="1" applyAlignment="1"/>
    <xf numFmtId="185" fontId="10" fillId="9" borderId="1" xfId="292" applyNumberFormat="1" applyFont="1" applyFill="1" applyBorder="1" applyAlignment="1">
      <alignment horizontal="center" vertical="center" wrapText="1"/>
    </xf>
    <xf numFmtId="185" fontId="7" fillId="9" borderId="1" xfId="292" applyNumberFormat="1" applyFont="1" applyFill="1" applyBorder="1" applyAlignment="1">
      <alignment horizontal="center" vertical="center" wrapText="1"/>
    </xf>
    <xf numFmtId="185" fontId="7" fillId="13" borderId="1" xfId="292" applyNumberFormat="1" applyFont="1" applyFill="1" applyBorder="1" applyAlignment="1">
      <alignment horizontal="center" vertical="center" wrapText="1"/>
    </xf>
    <xf numFmtId="185" fontId="7" fillId="13" borderId="2" xfId="292" applyNumberFormat="1" applyFont="1" applyFill="1" applyBorder="1" applyAlignment="1">
      <alignment horizontal="center" vertical="center" wrapText="1"/>
    </xf>
    <xf numFmtId="185" fontId="10" fillId="9" borderId="5" xfId="292" applyNumberFormat="1" applyFont="1" applyFill="1" applyBorder="1" applyAlignment="1">
      <alignment horizontal="center" vertical="center" wrapText="1"/>
    </xf>
    <xf numFmtId="185" fontId="7" fillId="9" borderId="7" xfId="292" applyNumberFormat="1" applyFont="1" applyFill="1" applyBorder="1" applyAlignment="1">
      <alignment horizontal="center" vertical="center" wrapText="1"/>
    </xf>
    <xf numFmtId="185" fontId="10" fillId="9" borderId="5" xfId="292" applyNumberFormat="1" applyFont="1" applyFill="1" applyBorder="1" applyAlignment="1">
      <alignment horizontal="right" vertical="center" wrapText="1"/>
    </xf>
    <xf numFmtId="185" fontId="7" fillId="13" borderId="1" xfId="292" applyNumberFormat="1" applyFont="1" applyFill="1" applyBorder="1" applyAlignment="1">
      <alignment horizontal="right" vertical="center" wrapText="1"/>
    </xf>
    <xf numFmtId="41" fontId="27" fillId="18" borderId="0" xfId="292" applyFont="1" applyFill="1" applyAlignment="1"/>
    <xf numFmtId="41" fontId="7" fillId="13" borderId="1" xfId="292" applyFont="1" applyFill="1" applyBorder="1" applyAlignment="1">
      <alignment horizontal="center" vertical="center" wrapText="1"/>
    </xf>
    <xf numFmtId="41" fontId="7" fillId="9" borderId="1" xfId="292" applyFont="1" applyFill="1" applyBorder="1" applyAlignment="1">
      <alignment horizontal="center" vertical="center" wrapText="1"/>
    </xf>
    <xf numFmtId="41" fontId="7" fillId="11" borderId="1" xfId="292" applyFont="1" applyFill="1" applyBorder="1" applyAlignment="1">
      <alignment horizontal="center" vertical="center" wrapText="1"/>
    </xf>
    <xf numFmtId="41" fontId="7" fillId="13" borderId="2" xfId="292" applyFont="1" applyFill="1" applyBorder="1" applyAlignment="1">
      <alignment horizontal="center" vertical="center" wrapText="1"/>
    </xf>
    <xf numFmtId="41" fontId="10" fillId="9" borderId="5" xfId="292" applyFont="1" applyFill="1" applyBorder="1" applyAlignment="1">
      <alignment horizontal="center" vertical="center" wrapText="1"/>
    </xf>
    <xf numFmtId="41" fontId="7" fillId="9" borderId="7" xfId="292" applyFont="1" applyFill="1" applyBorder="1" applyAlignment="1">
      <alignment horizontal="center" vertical="center" wrapText="1"/>
    </xf>
    <xf numFmtId="41" fontId="10" fillId="9" borderId="6" xfId="292" applyFont="1" applyFill="1" applyBorder="1" applyAlignment="1">
      <alignment horizontal="center" vertical="center" wrapText="1"/>
    </xf>
    <xf numFmtId="41" fontId="10" fillId="9" borderId="5" xfId="292" applyFont="1" applyFill="1" applyBorder="1" applyAlignment="1">
      <alignment horizontal="right" vertical="center" wrapText="1"/>
    </xf>
    <xf numFmtId="41" fontId="7" fillId="13" borderId="1" xfId="292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184" fontId="30" fillId="0" borderId="0" xfId="0" applyNumberFormat="1" applyFont="1" applyAlignment="1">
      <alignment horizontal="right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</cellXfs>
  <cellStyles count="293">
    <cellStyle name="Accent1 5" xfId="1" xr:uid="{00000000-0005-0000-0000-000000000000}"/>
    <cellStyle name="Accent2 5" xfId="2" xr:uid="{00000000-0005-0000-0000-000001000000}"/>
    <cellStyle name="Comma [0] 2" xfId="19" xr:uid="{00000000-0005-0000-0000-000001000000}"/>
    <cellStyle name="Comma 10" xfId="41" xr:uid="{00000000-0005-0000-0000-000002000000}"/>
    <cellStyle name="Comma 10 2" xfId="81" xr:uid="{00000000-0005-0000-0000-000003000000}"/>
    <cellStyle name="Comma 10 2 2" xfId="164" xr:uid="{00000000-0005-0000-0000-000004000000}"/>
    <cellStyle name="Comma 10 2 3" xfId="202" xr:uid="{00000000-0005-0000-0000-000005000000}"/>
    <cellStyle name="Comma 10 3" xfId="124" xr:uid="{00000000-0005-0000-0000-000006000000}"/>
    <cellStyle name="Comma 100" xfId="248" xr:uid="{00000000-0005-0000-0000-000007000000}"/>
    <cellStyle name="Comma 101" xfId="261" xr:uid="{00000000-0005-0000-0000-000008000000}"/>
    <cellStyle name="Comma 102" xfId="262" xr:uid="{00000000-0005-0000-0000-000009000000}"/>
    <cellStyle name="Comma 103" xfId="252" xr:uid="{00000000-0005-0000-0000-00000A000000}"/>
    <cellStyle name="Comma 104" xfId="266" xr:uid="{00000000-0005-0000-0000-00000B000000}"/>
    <cellStyle name="Comma 105" xfId="245" xr:uid="{00000000-0005-0000-0000-00000C000000}"/>
    <cellStyle name="Comma 106" xfId="242" xr:uid="{00000000-0005-0000-0000-00000D000000}"/>
    <cellStyle name="Comma 107" xfId="289" xr:uid="{00000000-0005-0000-0000-00000E000000}"/>
    <cellStyle name="Comma 108" xfId="250" xr:uid="{00000000-0005-0000-0000-00000F000000}"/>
    <cellStyle name="Comma 109" xfId="255" xr:uid="{00000000-0005-0000-0000-000010000000}"/>
    <cellStyle name="Comma 11" xfId="42" xr:uid="{00000000-0005-0000-0000-000007000000}"/>
    <cellStyle name="Comma 11 2" xfId="82" xr:uid="{00000000-0005-0000-0000-000008000000}"/>
    <cellStyle name="Comma 11 2 2" xfId="165" xr:uid="{00000000-0005-0000-0000-000009000000}"/>
    <cellStyle name="Comma 11 3" xfId="125" xr:uid="{00000000-0005-0000-0000-00000A000000}"/>
    <cellStyle name="Comma 110" xfId="249" xr:uid="{00000000-0005-0000-0000-000015000000}"/>
    <cellStyle name="Comma 111" xfId="282" xr:uid="{00000000-0005-0000-0000-000016000000}"/>
    <cellStyle name="Comma 112" xfId="290" xr:uid="{00000000-0005-0000-0000-000017000000}"/>
    <cellStyle name="Comma 12" xfId="18" xr:uid="{00000000-0005-0000-0000-00000B000000}"/>
    <cellStyle name="Comma 13" xfId="43" xr:uid="{00000000-0005-0000-0000-00000C000000}"/>
    <cellStyle name="Comma 13 2" xfId="83" xr:uid="{00000000-0005-0000-0000-00000D000000}"/>
    <cellStyle name="Comma 13 2 2" xfId="166" xr:uid="{00000000-0005-0000-0000-00000E000000}"/>
    <cellStyle name="Comma 13 3" xfId="126" xr:uid="{00000000-0005-0000-0000-00000F000000}"/>
    <cellStyle name="Comma 14" xfId="44" xr:uid="{00000000-0005-0000-0000-000010000000}"/>
    <cellStyle name="Comma 14 2" xfId="84" xr:uid="{00000000-0005-0000-0000-000011000000}"/>
    <cellStyle name="Comma 14 2 2" xfId="167" xr:uid="{00000000-0005-0000-0000-000012000000}"/>
    <cellStyle name="Comma 14 3" xfId="127" xr:uid="{00000000-0005-0000-0000-000013000000}"/>
    <cellStyle name="Comma 15" xfId="45" xr:uid="{00000000-0005-0000-0000-000014000000}"/>
    <cellStyle name="Comma 15 2" xfId="85" xr:uid="{00000000-0005-0000-0000-000015000000}"/>
    <cellStyle name="Comma 15 2 2" xfId="168" xr:uid="{00000000-0005-0000-0000-000016000000}"/>
    <cellStyle name="Comma 15 3" xfId="128" xr:uid="{00000000-0005-0000-0000-000017000000}"/>
    <cellStyle name="Comma 16" xfId="46" xr:uid="{00000000-0005-0000-0000-000018000000}"/>
    <cellStyle name="Comma 16 2" xfId="86" xr:uid="{00000000-0005-0000-0000-000019000000}"/>
    <cellStyle name="Comma 16 2 2" xfId="169" xr:uid="{00000000-0005-0000-0000-00001A000000}"/>
    <cellStyle name="Comma 16 3" xfId="129" xr:uid="{00000000-0005-0000-0000-00001B000000}"/>
    <cellStyle name="Comma 17" xfId="47" xr:uid="{00000000-0005-0000-0000-00001C000000}"/>
    <cellStyle name="Comma 17 2" xfId="87" xr:uid="{00000000-0005-0000-0000-00001D000000}"/>
    <cellStyle name="Comma 17 2 2" xfId="170" xr:uid="{00000000-0005-0000-0000-00001E000000}"/>
    <cellStyle name="Comma 17 3" xfId="130" xr:uid="{00000000-0005-0000-0000-00001F000000}"/>
    <cellStyle name="Comma 18" xfId="48" xr:uid="{00000000-0005-0000-0000-000020000000}"/>
    <cellStyle name="Comma 18 2" xfId="88" xr:uid="{00000000-0005-0000-0000-000021000000}"/>
    <cellStyle name="Comma 18 2 2" xfId="171" xr:uid="{00000000-0005-0000-0000-000022000000}"/>
    <cellStyle name="Comma 18 3" xfId="131" xr:uid="{00000000-0005-0000-0000-000023000000}"/>
    <cellStyle name="Comma 19" xfId="49" xr:uid="{00000000-0005-0000-0000-000024000000}"/>
    <cellStyle name="Comma 19 2" xfId="89" xr:uid="{00000000-0005-0000-0000-000025000000}"/>
    <cellStyle name="Comma 19 2 2" xfId="172" xr:uid="{00000000-0005-0000-0000-000026000000}"/>
    <cellStyle name="Comma 19 3" xfId="132" xr:uid="{00000000-0005-0000-0000-000027000000}"/>
    <cellStyle name="Comma 2" xfId="4" xr:uid="{00000000-0005-0000-0000-000003000000}"/>
    <cellStyle name="Comma 2 2" xfId="15" xr:uid="{00000000-0005-0000-0000-000029000000}"/>
    <cellStyle name="Comma 2 2 2" xfId="32" xr:uid="{00000000-0005-0000-0000-00002A000000}"/>
    <cellStyle name="Comma 2 2 2 2" xfId="72" xr:uid="{00000000-0005-0000-0000-00002B000000}"/>
    <cellStyle name="Comma 2 2 2 2 2" xfId="155" xr:uid="{00000000-0005-0000-0000-00002C000000}"/>
    <cellStyle name="Comma 2 2 2 3" xfId="115" xr:uid="{00000000-0005-0000-0000-00002D000000}"/>
    <cellStyle name="Comma 2 2 3" xfId="109" xr:uid="{00000000-0005-0000-0000-00002E000000}"/>
    <cellStyle name="Comma 2 2 4" xfId="225" xr:uid="{00000000-0005-0000-0000-00003C000000}"/>
    <cellStyle name="Comma 2 3" xfId="25" xr:uid="{00000000-0005-0000-0000-00002F000000}"/>
    <cellStyle name="Comma 2 3 2" xfId="34" xr:uid="{00000000-0005-0000-0000-000030000000}"/>
    <cellStyle name="Comma 2 3 2 2" xfId="74" xr:uid="{00000000-0005-0000-0000-000031000000}"/>
    <cellStyle name="Comma 2 3 2 2 2" xfId="157" xr:uid="{00000000-0005-0000-0000-000032000000}"/>
    <cellStyle name="Comma 2 3 2 3" xfId="117" xr:uid="{00000000-0005-0000-0000-000033000000}"/>
    <cellStyle name="Comma 2 3 3" xfId="112" xr:uid="{00000000-0005-0000-0000-000034000000}"/>
    <cellStyle name="Comma 2 3 4" xfId="227" xr:uid="{00000000-0005-0000-0000-000043000000}"/>
    <cellStyle name="Comma 2 4" xfId="9" xr:uid="{00000000-0005-0000-0000-000028000000}"/>
    <cellStyle name="Comma 2 9" xfId="23" xr:uid="{00000000-0005-0000-0000-000035000000}"/>
    <cellStyle name="Comma 20" xfId="50" xr:uid="{00000000-0005-0000-0000-000036000000}"/>
    <cellStyle name="Comma 20 2" xfId="90" xr:uid="{00000000-0005-0000-0000-000037000000}"/>
    <cellStyle name="Comma 20 2 2" xfId="173" xr:uid="{00000000-0005-0000-0000-000038000000}"/>
    <cellStyle name="Comma 20 3" xfId="133" xr:uid="{00000000-0005-0000-0000-000039000000}"/>
    <cellStyle name="Comma 21" xfId="51" xr:uid="{00000000-0005-0000-0000-00003A000000}"/>
    <cellStyle name="Comma 21 2" xfId="91" xr:uid="{00000000-0005-0000-0000-00003B000000}"/>
    <cellStyle name="Comma 21 2 2" xfId="174" xr:uid="{00000000-0005-0000-0000-00003C000000}"/>
    <cellStyle name="Comma 21 3" xfId="134" xr:uid="{00000000-0005-0000-0000-00003D000000}"/>
    <cellStyle name="Comma 22" xfId="52" xr:uid="{00000000-0005-0000-0000-00003E000000}"/>
    <cellStyle name="Comma 22 2" xfId="92" xr:uid="{00000000-0005-0000-0000-00003F000000}"/>
    <cellStyle name="Comma 22 2 2" xfId="175" xr:uid="{00000000-0005-0000-0000-000040000000}"/>
    <cellStyle name="Comma 22 3" xfId="135" xr:uid="{00000000-0005-0000-0000-000041000000}"/>
    <cellStyle name="Comma 23" xfId="53" xr:uid="{00000000-0005-0000-0000-000042000000}"/>
    <cellStyle name="Comma 23 2" xfId="93" xr:uid="{00000000-0005-0000-0000-000043000000}"/>
    <cellStyle name="Comma 23 2 2" xfId="176" xr:uid="{00000000-0005-0000-0000-000044000000}"/>
    <cellStyle name="Comma 23 3" xfId="136" xr:uid="{00000000-0005-0000-0000-000045000000}"/>
    <cellStyle name="Comma 24" xfId="54" xr:uid="{00000000-0005-0000-0000-000046000000}"/>
    <cellStyle name="Comma 24 2" xfId="94" xr:uid="{00000000-0005-0000-0000-000047000000}"/>
    <cellStyle name="Comma 24 2 2" xfId="177" xr:uid="{00000000-0005-0000-0000-000048000000}"/>
    <cellStyle name="Comma 24 3" xfId="137" xr:uid="{00000000-0005-0000-0000-000049000000}"/>
    <cellStyle name="Comma 25" xfId="55" xr:uid="{00000000-0005-0000-0000-00004A000000}"/>
    <cellStyle name="Comma 25 2" xfId="95" xr:uid="{00000000-0005-0000-0000-00004B000000}"/>
    <cellStyle name="Comma 25 2 2" xfId="178" xr:uid="{00000000-0005-0000-0000-00004C000000}"/>
    <cellStyle name="Comma 25 3" xfId="138" xr:uid="{00000000-0005-0000-0000-00004D000000}"/>
    <cellStyle name="Comma 26" xfId="56" xr:uid="{00000000-0005-0000-0000-00004E000000}"/>
    <cellStyle name="Comma 26 2" xfId="96" xr:uid="{00000000-0005-0000-0000-00004F000000}"/>
    <cellStyle name="Comma 26 2 2" xfId="179" xr:uid="{00000000-0005-0000-0000-000050000000}"/>
    <cellStyle name="Comma 26 3" xfId="139" xr:uid="{00000000-0005-0000-0000-000051000000}"/>
    <cellStyle name="Comma 27" xfId="57" xr:uid="{00000000-0005-0000-0000-000052000000}"/>
    <cellStyle name="Comma 27 2" xfId="97" xr:uid="{00000000-0005-0000-0000-000053000000}"/>
    <cellStyle name="Comma 27 2 2" xfId="180" xr:uid="{00000000-0005-0000-0000-000054000000}"/>
    <cellStyle name="Comma 27 3" xfId="140" xr:uid="{00000000-0005-0000-0000-000055000000}"/>
    <cellStyle name="Comma 28" xfId="58" xr:uid="{00000000-0005-0000-0000-000056000000}"/>
    <cellStyle name="Comma 28 2" xfId="98" xr:uid="{00000000-0005-0000-0000-000057000000}"/>
    <cellStyle name="Comma 28 2 2" xfId="181" xr:uid="{00000000-0005-0000-0000-000058000000}"/>
    <cellStyle name="Comma 28 3" xfId="141" xr:uid="{00000000-0005-0000-0000-000059000000}"/>
    <cellStyle name="Comma 29" xfId="59" xr:uid="{00000000-0005-0000-0000-00005A000000}"/>
    <cellStyle name="Comma 29 2" xfId="99" xr:uid="{00000000-0005-0000-0000-00005B000000}"/>
    <cellStyle name="Comma 29 2 2" xfId="182" xr:uid="{00000000-0005-0000-0000-00005C000000}"/>
    <cellStyle name="Comma 29 3" xfId="142" xr:uid="{00000000-0005-0000-0000-00005D000000}"/>
    <cellStyle name="Comma 3" xfId="24" xr:uid="{00000000-0005-0000-0000-00005E000000}"/>
    <cellStyle name="Comma 3 2" xfId="33" xr:uid="{00000000-0005-0000-0000-00005F000000}"/>
    <cellStyle name="Comma 3 2 2" xfId="73" xr:uid="{00000000-0005-0000-0000-000060000000}"/>
    <cellStyle name="Comma 3 2 2 2" xfId="156" xr:uid="{00000000-0005-0000-0000-000061000000}"/>
    <cellStyle name="Comma 3 2 3" xfId="116" xr:uid="{00000000-0005-0000-0000-000062000000}"/>
    <cellStyle name="Comma 3 3" xfId="111" xr:uid="{00000000-0005-0000-0000-000063000000}"/>
    <cellStyle name="Comma 3 4" xfId="226" xr:uid="{00000000-0005-0000-0000-000073000000}"/>
    <cellStyle name="Comma 30" xfId="60" xr:uid="{00000000-0005-0000-0000-000064000000}"/>
    <cellStyle name="Comma 30 2" xfId="100" xr:uid="{00000000-0005-0000-0000-000065000000}"/>
    <cellStyle name="Comma 30 2 2" xfId="183" xr:uid="{00000000-0005-0000-0000-000066000000}"/>
    <cellStyle name="Comma 30 3" xfId="143" xr:uid="{00000000-0005-0000-0000-000067000000}"/>
    <cellStyle name="Comma 31" xfId="61" xr:uid="{00000000-0005-0000-0000-000068000000}"/>
    <cellStyle name="Comma 31 2" xfId="101" xr:uid="{00000000-0005-0000-0000-000069000000}"/>
    <cellStyle name="Comma 31 2 2" xfId="184" xr:uid="{00000000-0005-0000-0000-00006A000000}"/>
    <cellStyle name="Comma 31 3" xfId="144" xr:uid="{00000000-0005-0000-0000-00006B000000}"/>
    <cellStyle name="Comma 32" xfId="62" xr:uid="{00000000-0005-0000-0000-00006C000000}"/>
    <cellStyle name="Comma 32 2" xfId="102" xr:uid="{00000000-0005-0000-0000-00006D000000}"/>
    <cellStyle name="Comma 32 2 2" xfId="185" xr:uid="{00000000-0005-0000-0000-00006E000000}"/>
    <cellStyle name="Comma 32 3" xfId="145" xr:uid="{00000000-0005-0000-0000-00006F000000}"/>
    <cellStyle name="Comma 33" xfId="63" xr:uid="{00000000-0005-0000-0000-000070000000}"/>
    <cellStyle name="Comma 33 2" xfId="103" xr:uid="{00000000-0005-0000-0000-000071000000}"/>
    <cellStyle name="Comma 33 2 2" xfId="186" xr:uid="{00000000-0005-0000-0000-000072000000}"/>
    <cellStyle name="Comma 33 3" xfId="146" xr:uid="{00000000-0005-0000-0000-000073000000}"/>
    <cellStyle name="Comma 34" xfId="65" xr:uid="{00000000-0005-0000-0000-000074000000}"/>
    <cellStyle name="Comma 34 2" xfId="148" xr:uid="{00000000-0005-0000-0000-000075000000}"/>
    <cellStyle name="Comma 35" xfId="68" xr:uid="{00000000-0005-0000-0000-000076000000}"/>
    <cellStyle name="Comma 35 2" xfId="151" xr:uid="{00000000-0005-0000-0000-000077000000}"/>
    <cellStyle name="Comma 36" xfId="69" xr:uid="{00000000-0005-0000-0000-000078000000}"/>
    <cellStyle name="Comma 36 2" xfId="152" xr:uid="{00000000-0005-0000-0000-000079000000}"/>
    <cellStyle name="Comma 37" xfId="67" xr:uid="{00000000-0005-0000-0000-00007A000000}"/>
    <cellStyle name="Comma 37 2" xfId="150" xr:uid="{00000000-0005-0000-0000-00007B000000}"/>
    <cellStyle name="Comma 38" xfId="104" xr:uid="{00000000-0005-0000-0000-00007C000000}"/>
    <cellStyle name="Comma 38 2" xfId="187" xr:uid="{00000000-0005-0000-0000-00007D000000}"/>
    <cellStyle name="Comma 39" xfId="105" xr:uid="{00000000-0005-0000-0000-00007E000000}"/>
    <cellStyle name="Comma 39 2" xfId="188" xr:uid="{00000000-0005-0000-0000-00007F000000}"/>
    <cellStyle name="Comma 4" xfId="31" xr:uid="{00000000-0005-0000-0000-000080000000}"/>
    <cellStyle name="Comma 4 2" xfId="71" xr:uid="{00000000-0005-0000-0000-000081000000}"/>
    <cellStyle name="Comma 4 2 2" xfId="154" xr:uid="{00000000-0005-0000-0000-000082000000}"/>
    <cellStyle name="Comma 4 3" xfId="114" xr:uid="{00000000-0005-0000-0000-000083000000}"/>
    <cellStyle name="Comma 40" xfId="66" xr:uid="{00000000-0005-0000-0000-000084000000}"/>
    <cellStyle name="Comma 40 2" xfId="149" xr:uid="{00000000-0005-0000-0000-000085000000}"/>
    <cellStyle name="Comma 41" xfId="108" xr:uid="{00000000-0005-0000-0000-000086000000}"/>
    <cellStyle name="Comma 42" xfId="106" xr:uid="{00000000-0005-0000-0000-000087000000}"/>
    <cellStyle name="Comma 43" xfId="107" xr:uid="{00000000-0005-0000-0000-000088000000}"/>
    <cellStyle name="Comma 44" xfId="153" xr:uid="{00000000-0005-0000-0000-000089000000}"/>
    <cellStyle name="Comma 45" xfId="192" xr:uid="{00000000-0005-0000-0000-00008A000000}"/>
    <cellStyle name="Comma 46" xfId="110" xr:uid="{00000000-0005-0000-0000-00008B000000}"/>
    <cellStyle name="Comma 47" xfId="196" xr:uid="{00000000-0005-0000-0000-00008C000000}"/>
    <cellStyle name="Comma 48" xfId="189" xr:uid="{00000000-0005-0000-0000-00008D000000}"/>
    <cellStyle name="Comma 49" xfId="190" xr:uid="{00000000-0005-0000-0000-00008E000000}"/>
    <cellStyle name="Comma 5" xfId="35" xr:uid="{00000000-0005-0000-0000-00008F000000}"/>
    <cellStyle name="Comma 5 2" xfId="75" xr:uid="{00000000-0005-0000-0000-000090000000}"/>
    <cellStyle name="Comma 5 2 2" xfId="158" xr:uid="{00000000-0005-0000-0000-000091000000}"/>
    <cellStyle name="Comma 5 3" xfId="118" xr:uid="{00000000-0005-0000-0000-000092000000}"/>
    <cellStyle name="Comma 50" xfId="193" xr:uid="{00000000-0005-0000-0000-000093000000}"/>
    <cellStyle name="Comma 51" xfId="197" xr:uid="{00000000-0005-0000-0000-000094000000}"/>
    <cellStyle name="Comma 52" xfId="198" xr:uid="{00000000-0005-0000-0000-000095000000}"/>
    <cellStyle name="Comma 53" xfId="200" xr:uid="{00000000-0005-0000-0000-000096000000}"/>
    <cellStyle name="Comma 54" xfId="199" xr:uid="{00000000-0005-0000-0000-000097000000}"/>
    <cellStyle name="Comma 55" xfId="195" xr:uid="{00000000-0005-0000-0000-000098000000}"/>
    <cellStyle name="Comma 56" xfId="191" xr:uid="{00000000-0005-0000-0000-000099000000}"/>
    <cellStyle name="Comma 57" xfId="194" xr:uid="{00000000-0005-0000-0000-00009A000000}"/>
    <cellStyle name="Comma 58" xfId="212" xr:uid="{00000000-0005-0000-0000-00009B000000}"/>
    <cellStyle name="Comma 58 2" xfId="277" xr:uid="{00000000-0005-0000-0000-0000AC000000}"/>
    <cellStyle name="Comma 59" xfId="213" xr:uid="{00000000-0005-0000-0000-00009C000000}"/>
    <cellStyle name="Comma 59 2" xfId="278" xr:uid="{00000000-0005-0000-0000-0000AE000000}"/>
    <cellStyle name="Comma 6" xfId="37" xr:uid="{00000000-0005-0000-0000-00009D000000}"/>
    <cellStyle name="Comma 6 2" xfId="77" xr:uid="{00000000-0005-0000-0000-00009E000000}"/>
    <cellStyle name="Comma 6 2 2" xfId="160" xr:uid="{00000000-0005-0000-0000-00009F000000}"/>
    <cellStyle name="Comma 6 2 2 2" xfId="239" xr:uid="{00000000-0005-0000-0000-0000B2000000}"/>
    <cellStyle name="Comma 6 2 2 3" xfId="223" xr:uid="{00000000-0005-0000-0000-0000B1000000}"/>
    <cellStyle name="Comma 6 2 3" xfId="232" xr:uid="{00000000-0005-0000-0000-0000B3000000}"/>
    <cellStyle name="Comma 6 2 4" xfId="219" xr:uid="{00000000-0005-0000-0000-0000B0000000}"/>
    <cellStyle name="Comma 6 3" xfId="120" xr:uid="{00000000-0005-0000-0000-0000A0000000}"/>
    <cellStyle name="Comma 6 3 2" xfId="235" xr:uid="{00000000-0005-0000-0000-0000B5000000}"/>
    <cellStyle name="Comma 6 3 3" xfId="221" xr:uid="{00000000-0005-0000-0000-0000B4000000}"/>
    <cellStyle name="Comma 6 4" xfId="229" xr:uid="{00000000-0005-0000-0000-0000B6000000}"/>
    <cellStyle name="Comma 6 5" xfId="217" xr:uid="{00000000-0005-0000-0000-0000AF000000}"/>
    <cellStyle name="Comma 60" xfId="214" xr:uid="{00000000-0005-0000-0000-0000A1000000}"/>
    <cellStyle name="Comma 60 2" xfId="279" xr:uid="{00000000-0005-0000-0000-0000B8000000}"/>
    <cellStyle name="Comma 61" xfId="215" xr:uid="{00000000-0005-0000-0000-0000A2000000}"/>
    <cellStyle name="Comma 62" xfId="233" xr:uid="{00000000-0005-0000-0000-0000BA000000}"/>
    <cellStyle name="Comma 63" xfId="230" xr:uid="{00000000-0005-0000-0000-0000BB000000}"/>
    <cellStyle name="Comma 64" xfId="237" xr:uid="{00000000-0005-0000-0000-0000BC000000}"/>
    <cellStyle name="Comma 65" xfId="241" xr:uid="{00000000-0005-0000-0000-0000BD000000}"/>
    <cellStyle name="Comma 66" xfId="236" xr:uid="{00000000-0005-0000-0000-0000BE000000}"/>
    <cellStyle name="Comma 67" xfId="243" xr:uid="{00000000-0005-0000-0000-0000BF000000}"/>
    <cellStyle name="Comma 68" xfId="276" xr:uid="{00000000-0005-0000-0000-0000C0000000}"/>
    <cellStyle name="Comma 69" xfId="258" xr:uid="{00000000-0005-0000-0000-0000C1000000}"/>
    <cellStyle name="Comma 7" xfId="39" xr:uid="{00000000-0005-0000-0000-0000A3000000}"/>
    <cellStyle name="Comma 7 2" xfId="79" xr:uid="{00000000-0005-0000-0000-0000A4000000}"/>
    <cellStyle name="Comma 7 2 2" xfId="162" xr:uid="{00000000-0005-0000-0000-0000A5000000}"/>
    <cellStyle name="Comma 7 3" xfId="122" xr:uid="{00000000-0005-0000-0000-0000A6000000}"/>
    <cellStyle name="Comma 70" xfId="247" xr:uid="{00000000-0005-0000-0000-0000C6000000}"/>
    <cellStyle name="Comma 71" xfId="264" xr:uid="{00000000-0005-0000-0000-0000C7000000}"/>
    <cellStyle name="Comma 72" xfId="275" xr:uid="{00000000-0005-0000-0000-0000C8000000}"/>
    <cellStyle name="Comma 73" xfId="253" xr:uid="{00000000-0005-0000-0000-0000C9000000}"/>
    <cellStyle name="Comma 74" xfId="256" xr:uid="{00000000-0005-0000-0000-0000CA000000}"/>
    <cellStyle name="Comma 75" xfId="260" xr:uid="{00000000-0005-0000-0000-0000CB000000}"/>
    <cellStyle name="Comma 76" xfId="271" xr:uid="{00000000-0005-0000-0000-0000CC000000}"/>
    <cellStyle name="Comma 77" xfId="269" xr:uid="{00000000-0005-0000-0000-0000CD000000}"/>
    <cellStyle name="Comma 78" xfId="272" xr:uid="{00000000-0005-0000-0000-0000CE000000}"/>
    <cellStyle name="Comma 79" xfId="286" xr:uid="{00000000-0005-0000-0000-0000CF000000}"/>
    <cellStyle name="Comma 8" xfId="40" xr:uid="{00000000-0005-0000-0000-0000A7000000}"/>
    <cellStyle name="Comma 8 2" xfId="80" xr:uid="{00000000-0005-0000-0000-0000A8000000}"/>
    <cellStyle name="Comma 8 2 2" xfId="163" xr:uid="{00000000-0005-0000-0000-0000A9000000}"/>
    <cellStyle name="Comma 8 3" xfId="123" xr:uid="{00000000-0005-0000-0000-0000AA000000}"/>
    <cellStyle name="Comma 80" xfId="267" xr:uid="{00000000-0005-0000-0000-0000D4000000}"/>
    <cellStyle name="Comma 81" xfId="251" xr:uid="{00000000-0005-0000-0000-0000D5000000}"/>
    <cellStyle name="Comma 82" xfId="244" xr:uid="{00000000-0005-0000-0000-0000D6000000}"/>
    <cellStyle name="Comma 83" xfId="257" xr:uid="{00000000-0005-0000-0000-0000D7000000}"/>
    <cellStyle name="Comma 84" xfId="281" xr:uid="{00000000-0005-0000-0000-0000D8000000}"/>
    <cellStyle name="Comma 85" xfId="265" xr:uid="{00000000-0005-0000-0000-0000D9000000}"/>
    <cellStyle name="Comma 86" xfId="288" xr:uid="{00000000-0005-0000-0000-0000DA000000}"/>
    <cellStyle name="Comma 87" xfId="285" xr:uid="{00000000-0005-0000-0000-0000DB000000}"/>
    <cellStyle name="Comma 88" xfId="254" xr:uid="{00000000-0005-0000-0000-0000DC000000}"/>
    <cellStyle name="Comma 89" xfId="273" xr:uid="{00000000-0005-0000-0000-0000DD000000}"/>
    <cellStyle name="Comma 9" xfId="38" xr:uid="{00000000-0005-0000-0000-0000AB000000}"/>
    <cellStyle name="Comma 9 2" xfId="78" xr:uid="{00000000-0005-0000-0000-0000AC000000}"/>
    <cellStyle name="Comma 9 2 2" xfId="161" xr:uid="{00000000-0005-0000-0000-0000AD000000}"/>
    <cellStyle name="Comma 9 3" xfId="121" xr:uid="{00000000-0005-0000-0000-0000AE000000}"/>
    <cellStyle name="Comma 90" xfId="287" xr:uid="{00000000-0005-0000-0000-0000E2000000}"/>
    <cellStyle name="Comma 91" xfId="274" xr:uid="{00000000-0005-0000-0000-0000E3000000}"/>
    <cellStyle name="Comma 92" xfId="270" xr:uid="{00000000-0005-0000-0000-0000E4000000}"/>
    <cellStyle name="Comma 93" xfId="246" xr:uid="{00000000-0005-0000-0000-0000E5000000}"/>
    <cellStyle name="Comma 94" xfId="268" xr:uid="{00000000-0005-0000-0000-0000E6000000}"/>
    <cellStyle name="Comma 95" xfId="280" xr:uid="{00000000-0005-0000-0000-0000E7000000}"/>
    <cellStyle name="Comma 96" xfId="283" xr:uid="{00000000-0005-0000-0000-0000E8000000}"/>
    <cellStyle name="Comma 97" xfId="263" xr:uid="{00000000-0005-0000-0000-0000E9000000}"/>
    <cellStyle name="Comma 98" xfId="259" xr:uid="{00000000-0005-0000-0000-0000EA000000}"/>
    <cellStyle name="Comma 99" xfId="284" xr:uid="{00000000-0005-0000-0000-0000EB000000}"/>
    <cellStyle name="Currency 2" xfId="26" xr:uid="{00000000-0005-0000-0000-0000AF000000}"/>
    <cellStyle name="Currency 2 2" xfId="27" xr:uid="{00000000-0005-0000-0000-0000B0000000}"/>
    <cellStyle name="Currency 3" xfId="64" xr:uid="{00000000-0005-0000-0000-0000B1000000}"/>
    <cellStyle name="Currency 3 2" xfId="147" xr:uid="{00000000-0005-0000-0000-0000B2000000}"/>
    <cellStyle name="Currency 4" xfId="113" xr:uid="{00000000-0005-0000-0000-0000B3000000}"/>
    <cellStyle name="Hyperlink 5" xfId="208" xr:uid="{00000000-0005-0000-0000-0000B4000000}"/>
    <cellStyle name="Normal - Style1 2 2" xfId="207" xr:uid="{00000000-0005-0000-0000-0000B6000000}"/>
    <cellStyle name="Normal 10" xfId="291" xr:uid="{8A34C316-120E-44B5-9E61-C34BA394DB42}"/>
    <cellStyle name="Normal 10 2" xfId="204" xr:uid="{00000000-0005-0000-0000-0000B7000000}"/>
    <cellStyle name="Normal 11" xfId="17" xr:uid="{00000000-0005-0000-0000-0000B8000000}"/>
    <cellStyle name="Normal 11 2" xfId="205" xr:uid="{00000000-0005-0000-0000-0000B9000000}"/>
    <cellStyle name="Normal 19 3" xfId="10" xr:uid="{00000000-0005-0000-0000-0000BA000000}"/>
    <cellStyle name="Normal 2" xfId="8" xr:uid="{00000000-0005-0000-0000-0000BB000000}"/>
    <cellStyle name="Normal 2 10" xfId="30" xr:uid="{00000000-0005-0000-0000-0000BC000000}"/>
    <cellStyle name="Normal 2 16" xfId="21" xr:uid="{00000000-0005-0000-0000-0000BD000000}"/>
    <cellStyle name="Normal 2 2" xfId="13" xr:uid="{00000000-0005-0000-0000-0000BE000000}"/>
    <cellStyle name="Normal 2 2 10" xfId="209" xr:uid="{00000000-0005-0000-0000-0000BF000000}"/>
    <cellStyle name="Normal 2 5" xfId="11" xr:uid="{00000000-0005-0000-0000-0000C0000000}"/>
    <cellStyle name="Normal 2 5 4" xfId="206" xr:uid="{00000000-0005-0000-0000-0000C1000000}"/>
    <cellStyle name="Normal 252" xfId="14" xr:uid="{00000000-0005-0000-0000-0000C2000000}"/>
    <cellStyle name="Normal 252 2" xfId="20" xr:uid="{00000000-0005-0000-0000-0000C3000000}"/>
    <cellStyle name="Normal 3" xfId="22" xr:uid="{00000000-0005-0000-0000-0000C4000000}"/>
    <cellStyle name="Normal 30" xfId="12" xr:uid="{00000000-0005-0000-0000-0000C5000000}"/>
    <cellStyle name="Normal 4" xfId="28" xr:uid="{00000000-0005-0000-0000-0000C6000000}"/>
    <cellStyle name="Normal 5" xfId="29" xr:uid="{00000000-0005-0000-0000-0000C7000000}"/>
    <cellStyle name="Normal 5 2" xfId="70" xr:uid="{00000000-0005-0000-0000-0000C8000000}"/>
    <cellStyle name="Normal 6" xfId="36" xr:uid="{00000000-0005-0000-0000-0000C9000000}"/>
    <cellStyle name="Normal 6 2" xfId="76" xr:uid="{00000000-0005-0000-0000-0000CA000000}"/>
    <cellStyle name="Normal 6 2 2" xfId="159" xr:uid="{00000000-0005-0000-0000-0000CB000000}"/>
    <cellStyle name="Normal 6 2 2 2" xfId="238" xr:uid="{00000000-0005-0000-0000-000009010000}"/>
    <cellStyle name="Normal 6 2 2 3" xfId="222" xr:uid="{00000000-0005-0000-0000-000008010000}"/>
    <cellStyle name="Normal 6 2 3" xfId="231" xr:uid="{00000000-0005-0000-0000-00000A010000}"/>
    <cellStyle name="Normal 6 2 4" xfId="218" xr:uid="{00000000-0005-0000-0000-000007010000}"/>
    <cellStyle name="Normal 6 3" xfId="119" xr:uid="{00000000-0005-0000-0000-0000CC000000}"/>
    <cellStyle name="Normal 6 3 2" xfId="234" xr:uid="{00000000-0005-0000-0000-00000C010000}"/>
    <cellStyle name="Normal 6 3 3" xfId="220" xr:uid="{00000000-0005-0000-0000-00000B010000}"/>
    <cellStyle name="Normal 6 4" xfId="228" xr:uid="{00000000-0005-0000-0000-00000D010000}"/>
    <cellStyle name="Normal 6 5" xfId="216" xr:uid="{00000000-0005-0000-0000-000006010000}"/>
    <cellStyle name="Normal 7" xfId="201" xr:uid="{00000000-0005-0000-0000-0000CD000000}"/>
    <cellStyle name="Normal 7 2" xfId="240" xr:uid="{00000000-0005-0000-0000-00000F010000}"/>
    <cellStyle name="Normal 7 3" xfId="224" xr:uid="{00000000-0005-0000-0000-00000E010000}"/>
    <cellStyle name="Normal 70" xfId="3" xr:uid="{00000000-0005-0000-0000-000005000000}"/>
    <cellStyle name="Normal 8" xfId="210" xr:uid="{00000000-0005-0000-0000-0000CE000000}"/>
    <cellStyle name="Normal 9" xfId="211" xr:uid="{00000000-0005-0000-0000-0000CF000000}"/>
    <cellStyle name="Percent 2" xfId="16" xr:uid="{00000000-0005-0000-0000-0000D2000000}"/>
    <cellStyle name="Percent 2 2" xfId="203" xr:uid="{00000000-0005-0000-0000-0000D3000000}"/>
    <cellStyle name="강조색1" xfId="7" builtinId="29"/>
    <cellStyle name="강조색2" xfId="6" builtinId="33"/>
    <cellStyle name="쉼표" xfId="5" builtinId="3"/>
    <cellStyle name="쉼표 [0]" xfId="292" builtinId="6"/>
    <cellStyle name="표준" xfId="0" builtinId="0"/>
  </cellStyles>
  <dxfs count="1">
    <dxf>
      <fill>
        <patternFill>
          <bgColor rgb="FFFFFF00"/>
        </pattern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headerRow" dxfId="0"/>
    </tableStyle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-Chan Hur" id="{B1943B7B-45AD-4B89-B57F-C125239FE115}" userId="S::Ye-Chan.Hur@kr.ey.com::20893aec-9870-4438-889f-1ad332e81d00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8" dT="2022-12-14T04:29:56.55" personId="{B1943B7B-45AD-4B89-B57F-C125239FE115}" id="{E692701D-A968-4E3F-9865-0F9FD6D4867E}">
    <text>Not paid in November</text>
  </threadedComment>
  <threadedComment ref="N8" dT="2023-01-02T06:51:01.99" personId="{B1943B7B-45AD-4B89-B57F-C125239FE115}" id="{75E967C5-2717-42AA-9DF2-440393E681EA}">
    <text>Nov, Dec, 2023 Jan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outlinePr summaryBelow="0" summaryRight="0"/>
  </sheetPr>
  <dimension ref="A1:T80"/>
  <sheetViews>
    <sheetView tabSelected="1" topLeftCell="C1" zoomScale="70" zoomScaleNormal="70" workbookViewId="0">
      <pane ySplit="1" topLeftCell="A37" activePane="bottomLeft" state="frozen"/>
      <selection activeCell="M16" sqref="M16"/>
      <selection pane="bottomLeft" activeCell="D69" sqref="D69"/>
    </sheetView>
  </sheetViews>
  <sheetFormatPr defaultColWidth="9.19921875" defaultRowHeight="17.399999999999999" outlineLevelRow="2"/>
  <cols>
    <col min="1" max="1" width="60.5" style="6" bestFit="1" customWidth="1"/>
    <col min="2" max="2" width="20" style="6" bestFit="1" customWidth="1"/>
    <col min="3" max="4" width="18.19921875" style="6" bestFit="1" customWidth="1"/>
    <col min="5" max="5" width="16" style="6" customWidth="1"/>
    <col min="6" max="6" width="19.8984375" style="6" customWidth="1"/>
    <col min="7" max="7" width="19.69921875" style="24" customWidth="1"/>
    <col min="8" max="8" width="17.5" style="6" bestFit="1" customWidth="1"/>
    <col min="9" max="14" width="16.8984375" style="6" customWidth="1"/>
    <col min="15" max="15" width="19.69921875" style="6" bestFit="1" customWidth="1"/>
    <col min="16" max="16384" width="9.19921875" style="6"/>
  </cols>
  <sheetData>
    <row r="1" spans="1:20" s="3" customFormat="1" ht="19.8" thickBot="1">
      <c r="A1" s="1"/>
      <c r="B1" s="1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</v>
      </c>
    </row>
    <row r="2" spans="1:20" ht="15" customHeight="1">
      <c r="A2" s="4"/>
      <c r="B2" s="4"/>
      <c r="C2" s="5"/>
      <c r="D2" s="5"/>
      <c r="E2" s="5"/>
      <c r="F2" s="5"/>
      <c r="G2" s="22"/>
      <c r="H2" s="22"/>
      <c r="I2" s="5"/>
      <c r="J2" s="5"/>
      <c r="K2" s="5"/>
      <c r="L2" s="5"/>
      <c r="M2" s="5"/>
      <c r="N2" s="5"/>
      <c r="O2" s="5"/>
      <c r="R2" s="103" t="s">
        <v>115</v>
      </c>
      <c r="S2" s="104"/>
      <c r="T2" s="105"/>
    </row>
    <row r="3" spans="1:20" s="10" customFormat="1" outlineLevel="1">
      <c r="A3" s="7" t="s">
        <v>14</v>
      </c>
      <c r="B3" s="7"/>
      <c r="C3" s="83"/>
      <c r="D3" s="83"/>
      <c r="E3" s="83"/>
      <c r="F3" s="83"/>
      <c r="G3" s="84"/>
      <c r="H3" s="84"/>
      <c r="I3" s="83"/>
      <c r="J3" s="83"/>
      <c r="K3" s="83"/>
      <c r="L3" s="83"/>
      <c r="M3" s="83"/>
      <c r="N3" s="83"/>
      <c r="O3" s="8">
        <f>SUM(C3:N3)</f>
        <v>0</v>
      </c>
      <c r="R3" s="106"/>
      <c r="S3" s="107"/>
      <c r="T3" s="108"/>
    </row>
    <row r="4" spans="1:20" outlineLevel="1">
      <c r="A4" s="11" t="s">
        <v>15</v>
      </c>
      <c r="B4" s="11" t="s">
        <v>16</v>
      </c>
      <c r="C4" s="85"/>
      <c r="D4" s="92"/>
      <c r="E4" s="85"/>
      <c r="F4" s="85"/>
      <c r="G4" s="85"/>
      <c r="H4" s="85"/>
      <c r="I4" s="85"/>
      <c r="J4" s="85"/>
      <c r="K4" s="92"/>
      <c r="L4" s="92"/>
      <c r="M4" s="92"/>
      <c r="N4" s="92"/>
      <c r="O4" s="8">
        <f t="shared" ref="O4:O19" si="0">SUM(C4:N4)</f>
        <v>0</v>
      </c>
      <c r="R4" s="106"/>
      <c r="S4" s="107"/>
      <c r="T4" s="108"/>
    </row>
    <row r="5" spans="1:20" outlineLevel="1">
      <c r="A5" s="11" t="s">
        <v>17</v>
      </c>
      <c r="B5" s="11"/>
      <c r="C5" s="84"/>
      <c r="D5" s="84">
        <f>SUM(D6:D8)</f>
        <v>0</v>
      </c>
      <c r="E5" s="84"/>
      <c r="F5" s="84"/>
      <c r="G5" s="84"/>
      <c r="H5" s="84"/>
      <c r="I5" s="84"/>
      <c r="J5" s="84"/>
      <c r="K5" s="84"/>
      <c r="L5" s="84"/>
      <c r="M5" s="93"/>
      <c r="N5" s="84"/>
      <c r="O5" s="8">
        <f>SUM(C5:N5)</f>
        <v>0</v>
      </c>
      <c r="R5" s="106"/>
      <c r="S5" s="107"/>
      <c r="T5" s="108"/>
    </row>
    <row r="6" spans="1:20" outlineLevel="1">
      <c r="A6" s="25" t="s">
        <v>114</v>
      </c>
      <c r="B6" s="25" t="s">
        <v>111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92"/>
      <c r="N6" s="85"/>
      <c r="O6" s="8">
        <f t="shared" si="0"/>
        <v>0</v>
      </c>
      <c r="R6" s="106"/>
      <c r="S6" s="107"/>
      <c r="T6" s="108"/>
    </row>
    <row r="7" spans="1:20" ht="18" outlineLevel="1" thickBot="1">
      <c r="A7" s="25" t="s">
        <v>107</v>
      </c>
      <c r="B7" s="25" t="s">
        <v>112</v>
      </c>
      <c r="C7" s="85"/>
      <c r="D7" s="85">
        <f>+'2월'!D10</f>
        <v>0</v>
      </c>
      <c r="E7" s="85"/>
      <c r="F7" s="85"/>
      <c r="G7" s="85"/>
      <c r="H7" s="85"/>
      <c r="I7" s="85"/>
      <c r="J7" s="85"/>
      <c r="K7" s="85"/>
      <c r="L7" s="85"/>
      <c r="M7" s="92"/>
      <c r="N7" s="85"/>
      <c r="O7" s="8">
        <f t="shared" si="0"/>
        <v>0</v>
      </c>
      <c r="R7" s="109"/>
      <c r="S7" s="110"/>
      <c r="T7" s="111"/>
    </row>
    <row r="8" spans="1:20" ht="18" outlineLevel="1" thickBot="1">
      <c r="A8" s="25" t="s">
        <v>108</v>
      </c>
      <c r="B8" s="25" t="s">
        <v>18</v>
      </c>
      <c r="C8" s="85"/>
      <c r="D8" s="85">
        <f>+'2월'!B2</f>
        <v>0</v>
      </c>
      <c r="E8" s="85"/>
      <c r="F8" s="85"/>
      <c r="G8" s="85"/>
      <c r="H8" s="85"/>
      <c r="I8" s="85"/>
      <c r="J8" s="85"/>
      <c r="K8" s="85"/>
      <c r="L8" s="85"/>
      <c r="M8" s="92"/>
      <c r="N8" s="85"/>
      <c r="O8" s="8">
        <f t="shared" si="0"/>
        <v>0</v>
      </c>
    </row>
    <row r="9" spans="1:20" ht="15" customHeight="1" outlineLevel="1">
      <c r="A9" s="11" t="s">
        <v>19</v>
      </c>
      <c r="B9" s="11" t="s">
        <v>20</v>
      </c>
      <c r="C9" s="85"/>
      <c r="D9" s="85">
        <f>'2월'!B3</f>
        <v>0</v>
      </c>
      <c r="E9" s="85"/>
      <c r="F9" s="85"/>
      <c r="G9" s="85"/>
      <c r="H9" s="85"/>
      <c r="I9" s="85"/>
      <c r="J9" s="85"/>
      <c r="K9" s="85"/>
      <c r="L9" s="85"/>
      <c r="M9" s="92"/>
      <c r="N9" s="85"/>
      <c r="O9" s="8">
        <f t="shared" si="0"/>
        <v>0</v>
      </c>
      <c r="R9" s="103" t="s">
        <v>116</v>
      </c>
      <c r="S9" s="104"/>
      <c r="T9" s="105"/>
    </row>
    <row r="10" spans="1:20" outlineLevel="1">
      <c r="A10" s="11" t="s">
        <v>21</v>
      </c>
      <c r="B10" s="11"/>
      <c r="C10" s="84"/>
      <c r="D10" s="84">
        <f>D15+D16+D14+D11</f>
        <v>644123235</v>
      </c>
      <c r="E10" s="84"/>
      <c r="F10" s="84"/>
      <c r="G10" s="84"/>
      <c r="H10" s="84"/>
      <c r="I10" s="84"/>
      <c r="J10" s="84"/>
      <c r="K10" s="84"/>
      <c r="L10" s="84"/>
      <c r="M10" s="93"/>
      <c r="N10" s="84"/>
      <c r="O10" s="8">
        <f t="shared" si="0"/>
        <v>644123235</v>
      </c>
      <c r="R10" s="106"/>
      <c r="S10" s="107"/>
      <c r="T10" s="108"/>
    </row>
    <row r="11" spans="1:20" outlineLevel="2">
      <c r="A11" s="12" t="s">
        <v>22</v>
      </c>
      <c r="B11" s="12"/>
      <c r="C11" s="94"/>
      <c r="D11" s="94">
        <f t="shared" ref="D11" si="1">SUM(D12:D13)</f>
        <v>0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8">
        <f>SUM(C11:N11)</f>
        <v>0</v>
      </c>
      <c r="R11" s="106"/>
      <c r="S11" s="107"/>
      <c r="T11" s="108"/>
    </row>
    <row r="12" spans="1:20" outlineLevel="2">
      <c r="A12" s="39" t="s">
        <v>109</v>
      </c>
      <c r="B12" s="39" t="s">
        <v>23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92"/>
      <c r="N12" s="85"/>
      <c r="O12" s="8">
        <f>SUM(C12:N12)</f>
        <v>0</v>
      </c>
      <c r="R12" s="106"/>
      <c r="S12" s="107"/>
      <c r="T12" s="108"/>
    </row>
    <row r="13" spans="1:20" outlineLevel="2">
      <c r="A13" s="39" t="s">
        <v>110</v>
      </c>
      <c r="B13" s="39" t="s">
        <v>113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92"/>
      <c r="N13" s="85"/>
      <c r="O13" s="8">
        <f t="shared" si="0"/>
        <v>0</v>
      </c>
      <c r="R13" s="106"/>
      <c r="S13" s="107"/>
      <c r="T13" s="108"/>
    </row>
    <row r="14" spans="1:20" outlineLevel="2">
      <c r="A14" s="12" t="s">
        <v>24</v>
      </c>
      <c r="B14" s="12" t="s">
        <v>25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92"/>
      <c r="N14" s="85"/>
      <c r="O14" s="8">
        <f t="shared" si="0"/>
        <v>0</v>
      </c>
      <c r="R14" s="106"/>
      <c r="S14" s="107"/>
      <c r="T14" s="108"/>
    </row>
    <row r="15" spans="1:20" ht="18" outlineLevel="2" thickBot="1">
      <c r="A15" s="12" t="s">
        <v>26</v>
      </c>
      <c r="B15" s="12" t="s">
        <v>27</v>
      </c>
      <c r="C15" s="85"/>
      <c r="D15" s="85">
        <f>+'2월'!B4+C14+C16+C11</f>
        <v>660324915</v>
      </c>
      <c r="E15" s="85"/>
      <c r="F15" s="85"/>
      <c r="G15" s="85"/>
      <c r="H15" s="85"/>
      <c r="I15" s="85"/>
      <c r="J15" s="85"/>
      <c r="K15" s="85"/>
      <c r="L15" s="85"/>
      <c r="M15" s="92"/>
      <c r="N15" s="85"/>
      <c r="O15" s="8">
        <f t="shared" si="0"/>
        <v>660324915</v>
      </c>
      <c r="R15" s="109"/>
      <c r="S15" s="110"/>
      <c r="T15" s="111"/>
    </row>
    <row r="16" spans="1:20" ht="19.2" customHeight="1" outlineLevel="2">
      <c r="A16" s="12" t="s">
        <v>150</v>
      </c>
      <c r="B16" s="12" t="s">
        <v>29</v>
      </c>
      <c r="C16" s="85"/>
      <c r="D16" s="85">
        <f>+'2월'!B5</f>
        <v>-16201680</v>
      </c>
      <c r="E16" s="85"/>
      <c r="F16" s="85"/>
      <c r="G16" s="85"/>
      <c r="H16" s="85"/>
      <c r="I16" s="85"/>
      <c r="J16" s="85"/>
      <c r="K16" s="85"/>
      <c r="L16" s="85"/>
      <c r="M16" s="92"/>
      <c r="N16" s="85"/>
      <c r="O16" s="8">
        <f t="shared" si="0"/>
        <v>-16201680</v>
      </c>
    </row>
    <row r="17" spans="1:20" ht="18" outlineLevel="1" thickBot="1">
      <c r="A17" s="11" t="s">
        <v>30</v>
      </c>
      <c r="B17" s="11"/>
      <c r="C17" s="84"/>
      <c r="D17" s="84">
        <f>D4+D5+D9+D10</f>
        <v>644123235</v>
      </c>
      <c r="E17" s="84"/>
      <c r="F17" s="84"/>
      <c r="G17" s="84"/>
      <c r="H17" s="84"/>
      <c r="I17" s="84"/>
      <c r="J17" s="84"/>
      <c r="K17" s="84"/>
      <c r="L17" s="84"/>
      <c r="M17" s="93"/>
      <c r="N17" s="84"/>
      <c r="O17" s="8">
        <f>SUM(C17:N17)</f>
        <v>644123235</v>
      </c>
    </row>
    <row r="18" spans="1:20" ht="15" customHeight="1" outlineLevel="1">
      <c r="A18" s="11" t="s">
        <v>31</v>
      </c>
      <c r="B18" s="11" t="s">
        <v>32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92"/>
      <c r="N18" s="85"/>
      <c r="O18" s="8">
        <f t="shared" si="0"/>
        <v>0</v>
      </c>
      <c r="R18" s="103" t="s">
        <v>117</v>
      </c>
      <c r="S18" s="104"/>
      <c r="T18" s="105"/>
    </row>
    <row r="19" spans="1:20" ht="18" outlineLevel="1" thickBot="1">
      <c r="A19" s="13" t="s">
        <v>33</v>
      </c>
      <c r="B19" s="13" t="s">
        <v>34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95"/>
      <c r="N19" s="86"/>
      <c r="O19" s="8">
        <f t="shared" si="0"/>
        <v>0</v>
      </c>
      <c r="R19" s="106"/>
      <c r="S19" s="107"/>
      <c r="T19" s="108"/>
    </row>
    <row r="20" spans="1:20" ht="18" outlineLevel="1" thickBot="1">
      <c r="A20" s="14" t="s">
        <v>35</v>
      </c>
      <c r="B20" s="15"/>
      <c r="C20" s="87"/>
      <c r="D20" s="87">
        <f>D17+D18+D19</f>
        <v>644123235</v>
      </c>
      <c r="E20" s="87"/>
      <c r="F20" s="87"/>
      <c r="G20" s="87"/>
      <c r="H20" s="87"/>
      <c r="I20" s="87"/>
      <c r="J20" s="87"/>
      <c r="K20" s="87"/>
      <c r="L20" s="87"/>
      <c r="M20" s="96"/>
      <c r="N20" s="87"/>
      <c r="O20" s="8">
        <f>SUM(C20:N20)</f>
        <v>644123235</v>
      </c>
      <c r="R20" s="106"/>
      <c r="S20" s="107"/>
      <c r="T20" s="108"/>
    </row>
    <row r="21" spans="1:20" outlineLevel="1">
      <c r="A21" s="17" t="s">
        <v>36</v>
      </c>
      <c r="B21" s="17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97"/>
      <c r="N21" s="88"/>
      <c r="O21" s="18"/>
      <c r="R21" s="106"/>
      <c r="S21" s="107"/>
      <c r="T21" s="108"/>
    </row>
    <row r="22" spans="1:20" ht="18" outlineLevel="1" thickBot="1">
      <c r="A22" s="11" t="s">
        <v>37</v>
      </c>
      <c r="B22" s="11"/>
      <c r="C22" s="93"/>
      <c r="D22" s="93">
        <f t="shared" ref="D22" si="2">SUM(D23:D30)</f>
        <v>0</v>
      </c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8">
        <f>SUM(C22:N22)</f>
        <v>0</v>
      </c>
      <c r="R22" s="109"/>
      <c r="S22" s="110"/>
      <c r="T22" s="111"/>
    </row>
    <row r="23" spans="1:20" ht="18" outlineLevel="2" thickBot="1">
      <c r="A23" s="12" t="s">
        <v>38</v>
      </c>
      <c r="B23" s="12" t="s">
        <v>39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92"/>
      <c r="N23" s="85"/>
      <c r="O23" s="8">
        <f t="shared" ref="O23:O37" si="3">SUM(C23:N23)</f>
        <v>0</v>
      </c>
    </row>
    <row r="24" spans="1:20" ht="15" customHeight="1" outlineLevel="2">
      <c r="A24" s="12" t="s">
        <v>40</v>
      </c>
      <c r="B24" s="12" t="s">
        <v>41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92"/>
      <c r="N24" s="85"/>
      <c r="O24" s="8">
        <f t="shared" si="3"/>
        <v>0</v>
      </c>
      <c r="R24" s="103" t="s">
        <v>118</v>
      </c>
      <c r="S24" s="104"/>
      <c r="T24" s="105"/>
    </row>
    <row r="25" spans="1:20" outlineLevel="2">
      <c r="A25" s="12" t="s">
        <v>42</v>
      </c>
      <c r="B25" s="12" t="s">
        <v>43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92"/>
      <c r="N25" s="85"/>
      <c r="O25" s="8">
        <f t="shared" si="3"/>
        <v>0</v>
      </c>
      <c r="R25" s="106"/>
      <c r="S25" s="107"/>
      <c r="T25" s="108"/>
    </row>
    <row r="26" spans="1:20" outlineLevel="2">
      <c r="A26" s="12" t="s">
        <v>44</v>
      </c>
      <c r="B26" s="12" t="s">
        <v>45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92"/>
      <c r="N26" s="85"/>
      <c r="O26" s="8">
        <f t="shared" si="3"/>
        <v>0</v>
      </c>
      <c r="R26" s="106"/>
      <c r="S26" s="107"/>
      <c r="T26" s="108"/>
    </row>
    <row r="27" spans="1:20" outlineLevel="2">
      <c r="A27" s="12" t="s">
        <v>46</v>
      </c>
      <c r="B27" s="12" t="s">
        <v>47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92"/>
      <c r="N27" s="85"/>
      <c r="O27" s="8">
        <f t="shared" si="3"/>
        <v>0</v>
      </c>
      <c r="R27" s="106"/>
      <c r="S27" s="107"/>
      <c r="T27" s="108"/>
    </row>
    <row r="28" spans="1:20" outlineLevel="2">
      <c r="A28" s="12" t="s">
        <v>48</v>
      </c>
      <c r="B28" s="12" t="s">
        <v>49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92"/>
      <c r="N28" s="85"/>
      <c r="O28" s="8">
        <f t="shared" si="3"/>
        <v>0</v>
      </c>
      <c r="R28" s="106"/>
      <c r="S28" s="107"/>
      <c r="T28" s="108"/>
    </row>
    <row r="29" spans="1:20" outlineLevel="2">
      <c r="A29" s="12" t="s">
        <v>50</v>
      </c>
      <c r="B29" s="12" t="s">
        <v>51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92"/>
      <c r="N29" s="85"/>
      <c r="O29" s="8">
        <f t="shared" si="3"/>
        <v>0</v>
      </c>
      <c r="R29" s="106"/>
      <c r="S29" s="107"/>
      <c r="T29" s="108"/>
    </row>
    <row r="30" spans="1:20" outlineLevel="2">
      <c r="A30" s="12" t="s">
        <v>52</v>
      </c>
      <c r="B30" s="12" t="s">
        <v>53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92"/>
      <c r="N30" s="85"/>
      <c r="O30" s="8">
        <f t="shared" si="3"/>
        <v>0</v>
      </c>
      <c r="R30" s="106"/>
      <c r="S30" s="107"/>
      <c r="T30" s="108"/>
    </row>
    <row r="31" spans="1:20" ht="18" outlineLevel="1" thickBot="1">
      <c r="A31" s="11" t="s">
        <v>54</v>
      </c>
      <c r="B31" s="11"/>
      <c r="C31" s="93"/>
      <c r="D31" s="93">
        <f t="shared" ref="D31" si="4">SUM(D32:D36)</f>
        <v>0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8">
        <f>SUM(C31:N31)</f>
        <v>0</v>
      </c>
      <c r="R31" s="109"/>
      <c r="S31" s="110"/>
      <c r="T31" s="111"/>
    </row>
    <row r="32" spans="1:20" outlineLevel="2">
      <c r="A32" s="12" t="s">
        <v>55</v>
      </c>
      <c r="B32" s="12" t="s">
        <v>56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92"/>
      <c r="N32" s="85"/>
      <c r="O32" s="8">
        <f t="shared" si="3"/>
        <v>0</v>
      </c>
    </row>
    <row r="33" spans="1:15" outlineLevel="2">
      <c r="A33" s="12" t="s">
        <v>57</v>
      </c>
      <c r="B33" s="12" t="s">
        <v>58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92"/>
      <c r="N33" s="85"/>
      <c r="O33" s="8">
        <f t="shared" si="3"/>
        <v>0</v>
      </c>
    </row>
    <row r="34" spans="1:15" outlineLevel="2">
      <c r="A34" s="12" t="s">
        <v>59</v>
      </c>
      <c r="B34" s="12" t="s">
        <v>60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92"/>
      <c r="N34" s="85"/>
      <c r="O34" s="8">
        <f t="shared" si="3"/>
        <v>0</v>
      </c>
    </row>
    <row r="35" spans="1:15" outlineLevel="2">
      <c r="A35" s="12" t="s">
        <v>61</v>
      </c>
      <c r="B35" s="12" t="s">
        <v>62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2"/>
      <c r="N35" s="85"/>
      <c r="O35" s="8">
        <f t="shared" si="3"/>
        <v>0</v>
      </c>
    </row>
    <row r="36" spans="1:15" ht="18" outlineLevel="2" thickBot="1">
      <c r="A36" s="12" t="s">
        <v>63</v>
      </c>
      <c r="B36" s="12" t="s">
        <v>64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92"/>
      <c r="N36" s="85"/>
      <c r="O36" s="8">
        <f t="shared" si="3"/>
        <v>0</v>
      </c>
    </row>
    <row r="37" spans="1:15" ht="18" outlineLevel="1" thickBot="1">
      <c r="A37" s="14" t="s">
        <v>65</v>
      </c>
      <c r="B37" s="15"/>
      <c r="C37" s="98"/>
      <c r="D37" s="98">
        <f t="shared" ref="D37" si="5">D31+D22</f>
        <v>0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8">
        <f t="shared" si="3"/>
        <v>0</v>
      </c>
    </row>
    <row r="38" spans="1:15" outlineLevel="1">
      <c r="A38" s="7" t="s">
        <v>66</v>
      </c>
      <c r="B38" s="7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8"/>
    </row>
    <row r="39" spans="1:15" outlineLevel="1">
      <c r="A39" s="11" t="s">
        <v>37</v>
      </c>
      <c r="B39" s="11"/>
      <c r="C39" s="93"/>
      <c r="D39" s="93">
        <f t="shared" ref="D39" si="6">D40+D43+D46+D47+D48+D49+D50</f>
        <v>0</v>
      </c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8">
        <f>SUM(C39:N39)</f>
        <v>0</v>
      </c>
    </row>
    <row r="40" spans="1:15" outlineLevel="2">
      <c r="A40" s="12" t="s">
        <v>67</v>
      </c>
      <c r="B40" s="12"/>
      <c r="C40" s="93"/>
      <c r="D40" s="93">
        <f t="shared" ref="D40" si="7">SUM(D41:D42)</f>
        <v>0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8">
        <f t="shared" ref="O40" si="8">SUM(O41:O42)</f>
        <v>0</v>
      </c>
    </row>
    <row r="41" spans="1:15" outlineLevel="2">
      <c r="A41" s="39" t="s">
        <v>119</v>
      </c>
      <c r="B41" s="12" t="s">
        <v>68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92"/>
      <c r="N41" s="85"/>
      <c r="O41" s="8">
        <f>SUM(C41:N41)</f>
        <v>0</v>
      </c>
    </row>
    <row r="42" spans="1:15" outlineLevel="2">
      <c r="A42" s="39" t="s">
        <v>120</v>
      </c>
      <c r="B42" s="12" t="s">
        <v>123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92"/>
      <c r="N42" s="85"/>
      <c r="O42" s="8">
        <f>SUM(C42:N42)</f>
        <v>0</v>
      </c>
    </row>
    <row r="43" spans="1:15" outlineLevel="2">
      <c r="A43" s="12" t="s">
        <v>69</v>
      </c>
      <c r="B43" s="12"/>
      <c r="C43" s="93"/>
      <c r="D43" s="93">
        <f t="shared" ref="D43" si="9">SUM(D44:D45)</f>
        <v>0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8">
        <f>SUM(O44:O45)</f>
        <v>0</v>
      </c>
    </row>
    <row r="44" spans="1:15" outlineLevel="2">
      <c r="A44" s="39" t="s">
        <v>121</v>
      </c>
      <c r="B44" s="12" t="s">
        <v>70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92"/>
      <c r="N44" s="85"/>
      <c r="O44" s="8">
        <f>SUM(C44:N44)</f>
        <v>0</v>
      </c>
    </row>
    <row r="45" spans="1:15" outlineLevel="2">
      <c r="A45" s="39" t="s">
        <v>122</v>
      </c>
      <c r="B45" s="12" t="s">
        <v>124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92"/>
      <c r="N45" s="85"/>
      <c r="O45" s="8">
        <f>SUM(C45:N45)</f>
        <v>0</v>
      </c>
    </row>
    <row r="46" spans="1:15" outlineLevel="2">
      <c r="A46" s="12" t="s">
        <v>71</v>
      </c>
      <c r="B46" s="12" t="s">
        <v>72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92"/>
      <c r="N46" s="85"/>
      <c r="O46" s="8">
        <f t="shared" ref="O46:O63" si="10">SUM(C46:N46)</f>
        <v>0</v>
      </c>
    </row>
    <row r="47" spans="1:15" outlineLevel="2">
      <c r="A47" s="12" t="s">
        <v>73</v>
      </c>
      <c r="B47" s="12" t="s">
        <v>74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2"/>
      <c r="N47" s="85"/>
      <c r="O47" s="8">
        <f t="shared" si="10"/>
        <v>0</v>
      </c>
    </row>
    <row r="48" spans="1:15" outlineLevel="2">
      <c r="A48" s="12" t="s">
        <v>75</v>
      </c>
      <c r="B48" s="12" t="s">
        <v>76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92"/>
      <c r="N48" s="85"/>
      <c r="O48" s="8">
        <f t="shared" si="10"/>
        <v>0</v>
      </c>
    </row>
    <row r="49" spans="1:15" outlineLevel="2">
      <c r="A49" s="12" t="s">
        <v>77</v>
      </c>
      <c r="B49" s="12" t="s">
        <v>78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92"/>
      <c r="N49" s="85"/>
      <c r="O49" s="8">
        <f t="shared" si="10"/>
        <v>0</v>
      </c>
    </row>
    <row r="50" spans="1:15" outlineLevel="2">
      <c r="A50" s="12" t="s">
        <v>79</v>
      </c>
      <c r="B50" s="12" t="s">
        <v>80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92"/>
      <c r="N50" s="85"/>
      <c r="O50" s="8">
        <f t="shared" si="10"/>
        <v>0</v>
      </c>
    </row>
    <row r="51" spans="1:15" outlineLevel="1">
      <c r="A51" s="11" t="s">
        <v>54</v>
      </c>
      <c r="B51" s="11"/>
      <c r="C51" s="93"/>
      <c r="D51" s="93">
        <f t="shared" ref="D51" si="11">D52+D55+D58+D59+D60+D61+D62+D63</f>
        <v>0</v>
      </c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8">
        <f t="shared" ref="O51" si="12">O52+O55+O58+O59+O60+O61+O62+O63</f>
        <v>0</v>
      </c>
    </row>
    <row r="52" spans="1:15" outlineLevel="2">
      <c r="A52" s="12" t="s">
        <v>81</v>
      </c>
      <c r="B52" s="12"/>
      <c r="C52" s="93"/>
      <c r="D52" s="93">
        <f t="shared" ref="D52" si="13">SUM(D53:D54)</f>
        <v>0</v>
      </c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8">
        <f>SUM(O53:O54)</f>
        <v>0</v>
      </c>
    </row>
    <row r="53" spans="1:15" outlineLevel="2">
      <c r="A53" s="39" t="s">
        <v>125</v>
      </c>
      <c r="B53" s="12" t="s">
        <v>82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92"/>
      <c r="N53" s="85"/>
      <c r="O53" s="8">
        <f>SUM(C53:N53)</f>
        <v>0</v>
      </c>
    </row>
    <row r="54" spans="1:15" outlineLevel="2">
      <c r="A54" s="39" t="s">
        <v>126</v>
      </c>
      <c r="B54" s="12" t="s">
        <v>129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92"/>
      <c r="N54" s="85"/>
      <c r="O54" s="8">
        <f>SUM(C54:N54)</f>
        <v>0</v>
      </c>
    </row>
    <row r="55" spans="1:15" outlineLevel="2">
      <c r="A55" s="12" t="s">
        <v>83</v>
      </c>
      <c r="B55" s="12"/>
      <c r="C55" s="84"/>
      <c r="D55" s="84">
        <f>SUM(D56:D57)</f>
        <v>0</v>
      </c>
      <c r="E55" s="84"/>
      <c r="F55" s="84"/>
      <c r="G55" s="84"/>
      <c r="H55" s="84"/>
      <c r="I55" s="84"/>
      <c r="J55" s="84"/>
      <c r="K55" s="84"/>
      <c r="L55" s="84"/>
      <c r="M55" s="93"/>
      <c r="N55" s="84"/>
      <c r="O55" s="8">
        <f>SUM(O56:O57)</f>
        <v>0</v>
      </c>
    </row>
    <row r="56" spans="1:15" outlineLevel="2">
      <c r="A56" s="39" t="s">
        <v>127</v>
      </c>
      <c r="B56" s="12" t="s">
        <v>84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92"/>
      <c r="N56" s="85"/>
      <c r="O56" s="8">
        <f>SUM(C56:N56)</f>
        <v>0</v>
      </c>
    </row>
    <row r="57" spans="1:15" outlineLevel="2">
      <c r="A57" s="39" t="s">
        <v>128</v>
      </c>
      <c r="B57" s="12" t="s">
        <v>130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92"/>
      <c r="N57" s="85"/>
      <c r="O57" s="8">
        <f>SUM(C57:N57)</f>
        <v>0</v>
      </c>
    </row>
    <row r="58" spans="1:15" outlineLevel="2">
      <c r="A58" s="12" t="s">
        <v>85</v>
      </c>
      <c r="B58" s="12" t="s">
        <v>86</v>
      </c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92"/>
      <c r="N58" s="85"/>
      <c r="O58" s="8">
        <f t="shared" si="10"/>
        <v>0</v>
      </c>
    </row>
    <row r="59" spans="1:15" outlineLevel="2">
      <c r="A59" s="12" t="s">
        <v>87</v>
      </c>
      <c r="B59" s="12" t="s">
        <v>88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92"/>
      <c r="N59" s="85"/>
      <c r="O59" s="8">
        <f t="shared" si="10"/>
        <v>0</v>
      </c>
    </row>
    <row r="60" spans="1:15" outlineLevel="1">
      <c r="A60" s="11" t="s">
        <v>89</v>
      </c>
      <c r="B60" s="11" t="s">
        <v>90</v>
      </c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92"/>
      <c r="N60" s="85"/>
      <c r="O60" s="8">
        <f>SUM(C60:N60)</f>
        <v>0</v>
      </c>
    </row>
    <row r="61" spans="1:15" outlineLevel="1">
      <c r="A61" s="11" t="s">
        <v>91</v>
      </c>
      <c r="B61" s="11" t="s">
        <v>92</v>
      </c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92"/>
      <c r="N61" s="85"/>
      <c r="O61" s="8">
        <f t="shared" si="10"/>
        <v>0</v>
      </c>
    </row>
    <row r="62" spans="1:15" outlineLevel="1">
      <c r="A62" s="11" t="s">
        <v>93</v>
      </c>
      <c r="B62" s="11" t="s">
        <v>94</v>
      </c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92"/>
      <c r="N62" s="85"/>
      <c r="O62" s="8">
        <f t="shared" si="10"/>
        <v>0</v>
      </c>
    </row>
    <row r="63" spans="1:15" ht="18" outlineLevel="1" thickBot="1">
      <c r="A63" s="11" t="s">
        <v>95</v>
      </c>
      <c r="B63" s="11" t="s">
        <v>96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92"/>
      <c r="N63" s="85"/>
      <c r="O63" s="8">
        <f t="shared" si="10"/>
        <v>0</v>
      </c>
    </row>
    <row r="64" spans="1:15" ht="18" outlineLevel="1" thickBot="1">
      <c r="A64" s="14" t="s">
        <v>97</v>
      </c>
      <c r="B64" s="15"/>
      <c r="C64" s="87"/>
      <c r="D64" s="87">
        <f>D51+D39</f>
        <v>0</v>
      </c>
      <c r="E64" s="87"/>
      <c r="F64" s="87"/>
      <c r="G64" s="87"/>
      <c r="H64" s="87"/>
      <c r="I64" s="87"/>
      <c r="J64" s="87"/>
      <c r="K64" s="87"/>
      <c r="L64" s="87"/>
      <c r="M64" s="96"/>
      <c r="N64" s="87"/>
      <c r="O64" s="16">
        <f>O51+O39</f>
        <v>0</v>
      </c>
    </row>
    <row r="65" spans="1:15" ht="18" outlineLevel="1" thickBot="1">
      <c r="A65" s="14" t="s">
        <v>98</v>
      </c>
      <c r="B65" s="15"/>
      <c r="C65" s="89"/>
      <c r="D65" s="89">
        <f>-(D20+D37+D64)</f>
        <v>-644123235</v>
      </c>
      <c r="E65" s="89"/>
      <c r="F65" s="89"/>
      <c r="G65" s="89"/>
      <c r="H65" s="89"/>
      <c r="I65" s="89"/>
      <c r="J65" s="89"/>
      <c r="K65" s="89"/>
      <c r="L65" s="89"/>
      <c r="M65" s="99"/>
      <c r="N65" s="89"/>
      <c r="O65" s="16">
        <f>SUM(C65:N65)</f>
        <v>-644123235</v>
      </c>
    </row>
    <row r="66" spans="1:15" outlineLevel="1">
      <c r="A66" s="11" t="s">
        <v>99</v>
      </c>
      <c r="B66" s="11" t="s">
        <v>100</v>
      </c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100"/>
      <c r="N66" s="90"/>
      <c r="O66" s="8"/>
    </row>
    <row r="67" spans="1:15" outlineLevel="1">
      <c r="A67" s="11" t="s">
        <v>101</v>
      </c>
      <c r="B67" s="11" t="s">
        <v>102</v>
      </c>
      <c r="C67" s="90"/>
      <c r="D67" s="90">
        <v>644123235</v>
      </c>
      <c r="E67" s="90"/>
      <c r="F67" s="90"/>
      <c r="G67" s="90"/>
      <c r="H67" s="90"/>
      <c r="I67" s="90"/>
      <c r="J67" s="90"/>
      <c r="K67" s="90"/>
      <c r="L67" s="90"/>
      <c r="M67" s="100"/>
      <c r="N67" s="90"/>
      <c r="O67" s="8">
        <f>C67</f>
        <v>0</v>
      </c>
    </row>
    <row r="68" spans="1:15" ht="18" outlineLevel="1" thickBot="1">
      <c r="A68" s="11" t="s">
        <v>103</v>
      </c>
      <c r="B68" s="11" t="s">
        <v>104</v>
      </c>
      <c r="C68" s="90"/>
      <c r="D68" s="90">
        <f>D65+D66+D67</f>
        <v>0</v>
      </c>
      <c r="E68" s="90"/>
      <c r="F68" s="90"/>
      <c r="G68" s="90"/>
      <c r="H68" s="90"/>
      <c r="I68" s="90"/>
      <c r="J68" s="90"/>
      <c r="K68" s="90"/>
      <c r="L68" s="90"/>
      <c r="M68" s="100"/>
      <c r="N68" s="90"/>
      <c r="O68" s="8">
        <f>N68</f>
        <v>0</v>
      </c>
    </row>
    <row r="69" spans="1:15" ht="18" thickBot="1">
      <c r="A69" s="14" t="s">
        <v>105</v>
      </c>
      <c r="B69" s="14" t="s">
        <v>131</v>
      </c>
      <c r="D69" s="6" t="b">
        <f>+D68='2월'!I17</f>
        <v>1</v>
      </c>
      <c r="G69" s="6"/>
    </row>
    <row r="70" spans="1:15" ht="18" thickBot="1">
      <c r="A70" s="14" t="s">
        <v>106</v>
      </c>
      <c r="B70" s="14" t="s">
        <v>132</v>
      </c>
      <c r="M70" s="19"/>
      <c r="N70" s="19"/>
    </row>
    <row r="71" spans="1:15">
      <c r="D71" s="56"/>
      <c r="E71" s="56"/>
      <c r="F71" s="56"/>
      <c r="G71" s="56"/>
      <c r="H71" s="56"/>
      <c r="I71" s="56"/>
      <c r="L71" s="19"/>
    </row>
    <row r="72" spans="1:15" hidden="1">
      <c r="D72" s="42">
        <f>D67-D68</f>
        <v>644123235</v>
      </c>
      <c r="E72" s="56"/>
      <c r="F72" s="56"/>
      <c r="G72" s="56"/>
      <c r="H72" s="56"/>
      <c r="I72" s="56"/>
    </row>
    <row r="73" spans="1:15" hidden="1">
      <c r="D73" s="57">
        <f>D69-D71</f>
        <v>1</v>
      </c>
      <c r="E73" s="56"/>
      <c r="F73" s="56"/>
      <c r="G73" s="56"/>
      <c r="H73" s="56"/>
      <c r="I73" s="56"/>
    </row>
    <row r="74" spans="1:15" hidden="1">
      <c r="D74" s="42"/>
      <c r="E74" s="56"/>
      <c r="F74" s="56"/>
      <c r="G74" s="56"/>
      <c r="H74" s="56"/>
      <c r="I74" s="56"/>
    </row>
    <row r="75" spans="1:15" hidden="1">
      <c r="D75" s="57">
        <f>D72-D73</f>
        <v>644123234</v>
      </c>
      <c r="E75" s="56"/>
      <c r="F75" s="56"/>
      <c r="G75" s="56"/>
      <c r="H75" s="56"/>
      <c r="I75" s="56"/>
    </row>
    <row r="76" spans="1:15">
      <c r="E76" s="56"/>
      <c r="F76" s="56"/>
      <c r="G76" s="56"/>
      <c r="H76" s="56"/>
      <c r="I76" s="56"/>
    </row>
    <row r="77" spans="1:15">
      <c r="F77" s="42"/>
    </row>
    <row r="78" spans="1:15">
      <c r="F78" s="42"/>
    </row>
    <row r="79" spans="1:15">
      <c r="F79" s="42"/>
    </row>
    <row r="80" spans="1:15">
      <c r="F80" s="42"/>
    </row>
  </sheetData>
  <mergeCells count="4">
    <mergeCell ref="R2:T7"/>
    <mergeCell ref="R9:T15"/>
    <mergeCell ref="R18:T22"/>
    <mergeCell ref="R24:T31"/>
  </mergeCells>
  <phoneticPr fontId="2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BFCF-80F0-4624-B104-3C1FAA3456B3}">
  <sheetPr>
    <tabColor theme="1"/>
  </sheetPr>
  <dimension ref="A1:K24"/>
  <sheetViews>
    <sheetView zoomScale="70" zoomScaleNormal="70" workbookViewId="0">
      <selection activeCell="B5" sqref="B5"/>
    </sheetView>
  </sheetViews>
  <sheetFormatPr defaultColWidth="8.69921875" defaultRowHeight="15.6"/>
  <cols>
    <col min="1" max="1" width="45" style="64" customWidth="1"/>
    <col min="2" max="2" width="14.8984375" style="65" customWidth="1"/>
    <col min="3" max="3" width="59.19921875" style="64" customWidth="1"/>
    <col min="4" max="4" width="14.19921875" style="64" customWidth="1"/>
    <col min="5" max="5" width="8.69921875" style="64"/>
    <col min="6" max="6" width="66.69921875" style="64" customWidth="1"/>
    <col min="7" max="7" width="13.09765625" style="64" customWidth="1"/>
    <col min="8" max="8" width="14.69921875" style="64" customWidth="1"/>
    <col min="9" max="9" width="15.19921875" style="64" customWidth="1"/>
    <col min="10" max="10" width="8.69921875" style="64"/>
    <col min="11" max="11" width="11.09765625" style="64" bestFit="1" customWidth="1"/>
    <col min="12" max="16384" width="8.69921875" style="64"/>
  </cols>
  <sheetData>
    <row r="1" spans="1:9">
      <c r="C1" s="64" t="s">
        <v>134</v>
      </c>
    </row>
    <row r="2" spans="1:9">
      <c r="A2" s="66" t="s">
        <v>108</v>
      </c>
      <c r="C2" s="67" t="s">
        <v>149</v>
      </c>
      <c r="F2" s="101" t="s">
        <v>151</v>
      </c>
      <c r="G2" s="58">
        <v>10000000</v>
      </c>
      <c r="H2" s="58"/>
      <c r="I2" s="58">
        <v>654121727</v>
      </c>
    </row>
    <row r="3" spans="1:9">
      <c r="A3" s="68" t="s">
        <v>19</v>
      </c>
      <c r="B3" s="91"/>
      <c r="C3" s="69" t="s">
        <v>135</v>
      </c>
      <c r="D3" s="70" t="s">
        <v>147</v>
      </c>
      <c r="F3" s="101" t="s">
        <v>152</v>
      </c>
      <c r="G3" s="58">
        <v>6202688</v>
      </c>
      <c r="H3" s="58"/>
      <c r="I3" s="58">
        <v>660324415</v>
      </c>
    </row>
    <row r="4" spans="1:9">
      <c r="A4" s="71" t="s">
        <v>26</v>
      </c>
      <c r="B4" s="82">
        <f>+H4+H5+H6+H7+H22-G3</f>
        <v>660324915</v>
      </c>
      <c r="C4" s="72" t="s">
        <v>136</v>
      </c>
      <c r="D4" s="73"/>
      <c r="E4" s="63"/>
      <c r="F4" s="101" t="s">
        <v>153</v>
      </c>
      <c r="G4" s="58"/>
      <c r="H4" s="58">
        <v>1800000</v>
      </c>
      <c r="I4" s="58">
        <v>658524415</v>
      </c>
    </row>
    <row r="5" spans="1:9">
      <c r="A5" s="71" t="s">
        <v>28</v>
      </c>
      <c r="B5" s="65">
        <f>-G21-G2</f>
        <v>-16201680</v>
      </c>
      <c r="C5" s="74" t="s">
        <v>137</v>
      </c>
      <c r="D5" s="75"/>
      <c r="F5" s="101" t="s">
        <v>154</v>
      </c>
      <c r="G5" s="58"/>
      <c r="H5" s="58">
        <v>330000</v>
      </c>
      <c r="I5" s="58">
        <v>658194415</v>
      </c>
    </row>
    <row r="6" spans="1:9">
      <c r="C6" s="74" t="s">
        <v>138</v>
      </c>
      <c r="D6" s="76">
        <v>0</v>
      </c>
      <c r="F6" s="101" t="s">
        <v>155</v>
      </c>
      <c r="G6" s="58"/>
      <c r="H6" s="58">
        <v>500000</v>
      </c>
      <c r="I6" s="58">
        <v>657694415</v>
      </c>
    </row>
    <row r="7" spans="1:9">
      <c r="A7" s="77" t="s">
        <v>125</v>
      </c>
      <c r="C7" s="74" t="s">
        <v>139</v>
      </c>
      <c r="D7" s="75"/>
      <c r="F7" s="101" t="s">
        <v>156</v>
      </c>
      <c r="G7" s="58"/>
      <c r="H7" s="58">
        <v>657694415</v>
      </c>
      <c r="I7" s="58"/>
    </row>
    <row r="8" spans="1:9">
      <c r="A8" s="77" t="s">
        <v>127</v>
      </c>
      <c r="C8" s="74" t="s">
        <v>140</v>
      </c>
      <c r="D8" s="76">
        <f>+H12</f>
        <v>0</v>
      </c>
      <c r="F8" s="101"/>
      <c r="G8" s="58"/>
      <c r="H8" s="58"/>
      <c r="I8" s="58"/>
    </row>
    <row r="9" spans="1:9">
      <c r="C9" s="78" t="s">
        <v>141</v>
      </c>
      <c r="D9" s="79"/>
      <c r="F9" s="101"/>
      <c r="G9" s="58"/>
      <c r="H9" s="58"/>
      <c r="I9" s="58"/>
    </row>
    <row r="10" spans="1:9">
      <c r="A10" s="77" t="s">
        <v>119</v>
      </c>
      <c r="C10" s="80" t="s">
        <v>142</v>
      </c>
      <c r="D10" s="81">
        <f t="shared" ref="D10" si="0">SUM(D4:D9)</f>
        <v>0</v>
      </c>
      <c r="F10" s="101"/>
      <c r="G10" s="58"/>
      <c r="H10" s="58"/>
      <c r="I10" s="58"/>
    </row>
    <row r="11" spans="1:9">
      <c r="F11" s="101"/>
      <c r="G11" s="58"/>
      <c r="H11" s="58"/>
      <c r="I11" s="58"/>
    </row>
    <row r="12" spans="1:9">
      <c r="A12" s="71" t="s">
        <v>50</v>
      </c>
      <c r="F12" s="101"/>
      <c r="G12" s="58"/>
      <c r="H12" s="58"/>
      <c r="I12" s="58"/>
    </row>
    <row r="13" spans="1:9">
      <c r="F13" s="101"/>
      <c r="G13" s="58"/>
      <c r="H13" s="58"/>
      <c r="I13" s="58"/>
    </row>
    <row r="14" spans="1:9">
      <c r="G14" s="59">
        <v>4656329</v>
      </c>
      <c r="H14" s="59">
        <v>80031670</v>
      </c>
      <c r="I14" s="60"/>
    </row>
    <row r="15" spans="1:9" ht="16.2" thickBot="1">
      <c r="G15" s="61">
        <v>1921204931</v>
      </c>
      <c r="H15" s="61">
        <v>1277083204</v>
      </c>
      <c r="I15" s="62"/>
    </row>
    <row r="17" spans="6:11">
      <c r="H17" s="63">
        <f>I13+I22</f>
        <v>0</v>
      </c>
      <c r="I17" s="63">
        <f>+I7+J22</f>
        <v>0</v>
      </c>
      <c r="K17" s="63"/>
    </row>
    <row r="20" spans="6:11">
      <c r="G20" s="64">
        <v>1508</v>
      </c>
      <c r="H20" s="101"/>
      <c r="I20" s="102">
        <v>1508</v>
      </c>
    </row>
    <row r="21" spans="6:11" ht="17.399999999999999">
      <c r="F21" s="101" t="s">
        <v>157</v>
      </c>
      <c r="G21" s="102">
        <v>6201680</v>
      </c>
      <c r="H21" s="102"/>
      <c r="I21" s="102">
        <v>6203188</v>
      </c>
      <c r="J21" s="55"/>
    </row>
    <row r="22" spans="6:11">
      <c r="F22" s="64" t="s">
        <v>152</v>
      </c>
      <c r="H22" s="64">
        <v>6203188</v>
      </c>
    </row>
    <row r="23" spans="6:11">
      <c r="G23" s="64">
        <v>6201680</v>
      </c>
      <c r="H23" s="64">
        <v>6203188</v>
      </c>
    </row>
    <row r="24" spans="6:11">
      <c r="G24" s="64">
        <v>6203188</v>
      </c>
      <c r="H24" s="64">
        <v>6203188</v>
      </c>
    </row>
  </sheetData>
  <phoneticPr fontId="24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5A89-92CF-4E5A-A449-1C8F31F0711E}">
  <dimension ref="B1:O21"/>
  <sheetViews>
    <sheetView workbookViewId="0">
      <selection activeCell="H6" sqref="H6"/>
    </sheetView>
  </sheetViews>
  <sheetFormatPr defaultRowHeight="17.399999999999999"/>
  <cols>
    <col min="2" max="2" width="44.59765625" bestFit="1" customWidth="1"/>
    <col min="3" max="3" width="10.59765625" bestFit="1" customWidth="1"/>
    <col min="4" max="5" width="11.8984375" bestFit="1" customWidth="1"/>
    <col min="6" max="6" width="10.59765625" bestFit="1" customWidth="1"/>
    <col min="7" max="7" width="13.09765625" customWidth="1"/>
    <col min="8" max="8" width="13.09765625" bestFit="1" customWidth="1"/>
    <col min="9" max="12" width="11.8984375" bestFit="1" customWidth="1"/>
    <col min="13" max="13" width="10.3984375" bestFit="1" customWidth="1"/>
    <col min="14" max="14" width="11.8984375" bestFit="1" customWidth="1"/>
  </cols>
  <sheetData>
    <row r="1" spans="2:15">
      <c r="B1" t="s">
        <v>134</v>
      </c>
    </row>
    <row r="2" spans="2:15">
      <c r="B2" s="43" t="s">
        <v>148</v>
      </c>
    </row>
    <row r="3" spans="2:15">
      <c r="B3" s="44" t="s">
        <v>135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143</v>
      </c>
      <c r="K3" s="45" t="s">
        <v>144</v>
      </c>
      <c r="L3" s="45" t="s">
        <v>145</v>
      </c>
      <c r="M3" s="45" t="s">
        <v>146</v>
      </c>
      <c r="N3" s="45" t="s">
        <v>147</v>
      </c>
    </row>
    <row r="4" spans="2:15">
      <c r="B4" s="46" t="s">
        <v>136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5">
      <c r="B5" s="48" t="s">
        <v>137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2:15">
      <c r="B6" s="48" t="s">
        <v>138</v>
      </c>
      <c r="C6" s="49">
        <v>1430000</v>
      </c>
      <c r="D6" s="49">
        <v>1430000</v>
      </c>
      <c r="E6" s="49">
        <v>1430000</v>
      </c>
      <c r="F6" s="49">
        <v>1430000</v>
      </c>
      <c r="G6" s="49">
        <v>1430000</v>
      </c>
      <c r="H6" s="49"/>
      <c r="I6" s="49"/>
      <c r="J6" s="49"/>
      <c r="K6" s="49"/>
      <c r="L6" s="49"/>
      <c r="M6" s="49"/>
      <c r="N6" s="49"/>
    </row>
    <row r="7" spans="2:15">
      <c r="B7" s="48" t="s">
        <v>139</v>
      </c>
      <c r="C7" s="49"/>
      <c r="D7" s="49"/>
      <c r="E7" s="49"/>
      <c r="F7" s="49"/>
      <c r="H7" s="49"/>
      <c r="I7" s="49"/>
      <c r="J7" s="49"/>
      <c r="K7" s="49"/>
      <c r="L7" s="49"/>
      <c r="M7" s="49"/>
      <c r="N7" s="49"/>
    </row>
    <row r="8" spans="2:15">
      <c r="B8" s="48" t="s">
        <v>140</v>
      </c>
      <c r="C8" s="49"/>
      <c r="D8" s="49">
        <v>15002526</v>
      </c>
      <c r="E8" s="49"/>
      <c r="F8" s="49">
        <v>12259206</v>
      </c>
      <c r="G8" s="49" t="e">
        <f>#REF!*2</f>
        <v>#REF!</v>
      </c>
      <c r="H8" s="49"/>
      <c r="I8" s="49"/>
      <c r="J8" s="49"/>
      <c r="K8" s="49"/>
      <c r="L8" s="49"/>
      <c r="M8" s="49"/>
      <c r="N8" s="49"/>
    </row>
    <row r="9" spans="2:15">
      <c r="B9" s="50" t="s">
        <v>141</v>
      </c>
      <c r="C9" s="51"/>
      <c r="D9" s="51"/>
      <c r="E9" s="51"/>
      <c r="F9" s="51"/>
      <c r="G9" s="51"/>
      <c r="H9" s="52"/>
      <c r="I9" s="52"/>
      <c r="J9" s="52"/>
      <c r="K9" s="52"/>
      <c r="L9" s="52"/>
      <c r="M9" s="52"/>
      <c r="N9" s="52"/>
    </row>
    <row r="10" spans="2:15">
      <c r="B10" s="53" t="s">
        <v>142</v>
      </c>
      <c r="C10" s="54">
        <f t="shared" ref="C10:N10" si="0">SUM(C4:C9)</f>
        <v>1430000</v>
      </c>
      <c r="D10" s="54">
        <f t="shared" si="0"/>
        <v>16432526</v>
      </c>
      <c r="E10" s="54">
        <f t="shared" si="0"/>
        <v>1430000</v>
      </c>
      <c r="F10" s="54">
        <f t="shared" si="0"/>
        <v>13689206</v>
      </c>
      <c r="G10" s="54" t="e">
        <f t="shared" si="0"/>
        <v>#REF!</v>
      </c>
      <c r="H10" s="54">
        <f t="shared" si="0"/>
        <v>0</v>
      </c>
      <c r="I10" s="54">
        <f t="shared" si="0"/>
        <v>0</v>
      </c>
      <c r="J10" s="54">
        <f t="shared" si="0"/>
        <v>0</v>
      </c>
      <c r="K10" s="54">
        <f t="shared" si="0"/>
        <v>0</v>
      </c>
      <c r="L10" s="54">
        <f t="shared" si="0"/>
        <v>0</v>
      </c>
      <c r="M10" s="54">
        <f t="shared" si="0"/>
        <v>0</v>
      </c>
      <c r="N10" s="54">
        <f t="shared" si="0"/>
        <v>0</v>
      </c>
      <c r="O10" s="49"/>
    </row>
    <row r="11" spans="2:15">
      <c r="C11" t="b">
        <f>-C10='CFS Template_2026'!C7</f>
        <v>0</v>
      </c>
    </row>
    <row r="15" spans="2:15">
      <c r="H15" s="49"/>
    </row>
    <row r="16" spans="2:15">
      <c r="H16" s="49"/>
    </row>
    <row r="17" spans="8:8">
      <c r="H17" s="49"/>
    </row>
    <row r="18" spans="8:8">
      <c r="H18" s="49"/>
    </row>
    <row r="19" spans="8:8">
      <c r="H19" s="49"/>
    </row>
    <row r="20" spans="8:8">
      <c r="H20" s="49"/>
    </row>
    <row r="21" spans="8:8">
      <c r="H21" s="49"/>
    </row>
  </sheetData>
  <phoneticPr fontId="24" type="noConversion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12AF-884E-43D3-9773-26834719D865}">
  <sheetPr>
    <tabColor theme="6" tint="-0.249977111117893"/>
    <outlinePr summaryBelow="0" summaryRight="0"/>
  </sheetPr>
  <dimension ref="A1:T74"/>
  <sheetViews>
    <sheetView topLeftCell="C1" zoomScale="70" zoomScaleNormal="70" workbookViewId="0">
      <pane ySplit="1" topLeftCell="A2" activePane="bottomLeft" state="frozen"/>
      <selection activeCell="C15" sqref="C15"/>
      <selection pane="bottomLeft" activeCell="C15" sqref="C15"/>
    </sheetView>
  </sheetViews>
  <sheetFormatPr defaultColWidth="9.19921875" defaultRowHeight="17.399999999999999" outlineLevelRow="2"/>
  <cols>
    <col min="1" max="1" width="60.5" style="6" bestFit="1" customWidth="1"/>
    <col min="2" max="2" width="20" style="6" bestFit="1" customWidth="1"/>
    <col min="3" max="3" width="15.5" style="6" bestFit="1" customWidth="1"/>
    <col min="4" max="4" width="14.19921875" style="6" bestFit="1" customWidth="1"/>
    <col min="5" max="5" width="15.5" style="6" bestFit="1" customWidth="1"/>
    <col min="6" max="6" width="14" style="6" bestFit="1" customWidth="1"/>
    <col min="7" max="7" width="14" style="24" bestFit="1" customWidth="1"/>
    <col min="8" max="8" width="16.3984375" style="6" bestFit="1" customWidth="1"/>
    <col min="9" max="9" width="15.19921875" style="6" bestFit="1" customWidth="1"/>
    <col min="10" max="10" width="12" style="6" bestFit="1" customWidth="1"/>
    <col min="11" max="12" width="12.19921875" style="6" bestFit="1" customWidth="1"/>
    <col min="13" max="13" width="11.69921875" style="6" bestFit="1" customWidth="1"/>
    <col min="14" max="14" width="12.59765625" style="6" bestFit="1" customWidth="1"/>
    <col min="15" max="15" width="19.69921875" style="6" bestFit="1" customWidth="1"/>
    <col min="16" max="16384" width="9.19921875" style="6"/>
  </cols>
  <sheetData>
    <row r="1" spans="1:20" s="3" customFormat="1" ht="19.8" thickBot="1">
      <c r="A1" s="1"/>
      <c r="B1" s="1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</v>
      </c>
    </row>
    <row r="2" spans="1:20" ht="15" customHeight="1">
      <c r="A2" s="4"/>
      <c r="B2" s="4"/>
      <c r="C2" s="5"/>
      <c r="D2" s="5"/>
      <c r="E2" s="5"/>
      <c r="F2" s="5"/>
      <c r="G2" s="22"/>
      <c r="H2" s="5"/>
      <c r="I2" s="5"/>
      <c r="J2" s="5"/>
      <c r="K2" s="5"/>
      <c r="L2" s="5"/>
      <c r="M2" s="5"/>
      <c r="N2" s="5"/>
      <c r="O2" s="5"/>
      <c r="R2" s="103" t="s">
        <v>115</v>
      </c>
      <c r="S2" s="104"/>
      <c r="T2" s="105"/>
    </row>
    <row r="3" spans="1:20" s="10" customFormat="1" outlineLevel="1">
      <c r="A3" s="7" t="s">
        <v>14</v>
      </c>
      <c r="B3" s="7"/>
      <c r="C3" s="20"/>
      <c r="D3" s="20"/>
      <c r="E3" s="20"/>
      <c r="F3" s="20"/>
      <c r="G3" s="23"/>
      <c r="H3" s="9"/>
      <c r="I3" s="9"/>
      <c r="J3" s="9"/>
      <c r="K3" s="9"/>
      <c r="L3" s="9"/>
      <c r="M3" s="9"/>
      <c r="N3" s="9"/>
      <c r="O3" s="8">
        <f>SUM(C3:N3)</f>
        <v>0</v>
      </c>
      <c r="R3" s="106"/>
      <c r="S3" s="107"/>
      <c r="T3" s="108"/>
    </row>
    <row r="4" spans="1:20" outlineLevel="1">
      <c r="A4" s="11" t="s">
        <v>15</v>
      </c>
      <c r="B4" s="11" t="s">
        <v>16</v>
      </c>
      <c r="C4" s="34"/>
      <c r="D4" s="34"/>
      <c r="E4" s="34"/>
      <c r="F4" s="34"/>
      <c r="G4" s="34"/>
      <c r="H4" s="26"/>
      <c r="I4" s="26"/>
      <c r="J4" s="26"/>
      <c r="K4" s="26"/>
      <c r="L4" s="26"/>
      <c r="M4" s="26"/>
      <c r="N4" s="26"/>
      <c r="O4" s="8">
        <f t="shared" ref="O4:O19" si="0">SUM(C4:N4)</f>
        <v>0</v>
      </c>
      <c r="R4" s="106"/>
      <c r="S4" s="107"/>
      <c r="T4" s="108"/>
    </row>
    <row r="5" spans="1:20" outlineLevel="1">
      <c r="A5" s="11" t="s">
        <v>17</v>
      </c>
      <c r="B5" s="11"/>
      <c r="C5" s="35">
        <f t="shared" ref="C5:N5" si="1">SUM(C6:C8)</f>
        <v>0</v>
      </c>
      <c r="D5" s="35">
        <f t="shared" si="1"/>
        <v>-5082500</v>
      </c>
      <c r="E5" s="35">
        <f t="shared" si="1"/>
        <v>-147782000</v>
      </c>
      <c r="F5" s="35">
        <f t="shared" si="1"/>
        <v>-5082000</v>
      </c>
      <c r="G5" s="35">
        <f t="shared" si="1"/>
        <v>-8030000</v>
      </c>
      <c r="H5" s="35">
        <f t="shared" si="1"/>
        <v>-274436088</v>
      </c>
      <c r="I5" s="35">
        <f t="shared" si="1"/>
        <v>-51898720</v>
      </c>
      <c r="J5" s="35">
        <f t="shared" si="1"/>
        <v>-33672065</v>
      </c>
      <c r="K5" s="35">
        <f t="shared" si="1"/>
        <v>-470250739</v>
      </c>
      <c r="L5" s="35">
        <f t="shared" si="1"/>
        <v>-16462526</v>
      </c>
      <c r="M5" s="35">
        <f t="shared" si="1"/>
        <v>-29486142</v>
      </c>
      <c r="N5" s="35">
        <f t="shared" si="1"/>
        <v>-94068796</v>
      </c>
      <c r="O5" s="8">
        <f>SUM(C5:N5)</f>
        <v>-1136251576</v>
      </c>
      <c r="R5" s="106"/>
      <c r="S5" s="107"/>
      <c r="T5" s="108"/>
    </row>
    <row r="6" spans="1:20" outlineLevel="1">
      <c r="A6" s="25" t="s">
        <v>114</v>
      </c>
      <c r="B6" s="25" t="s">
        <v>111</v>
      </c>
      <c r="C6" s="34"/>
      <c r="D6" s="34"/>
      <c r="E6" s="34">
        <f>-(83600000+38500000)</f>
        <v>-122100000</v>
      </c>
      <c r="F6" s="34"/>
      <c r="G6" s="34">
        <v>-6600000</v>
      </c>
      <c r="H6" s="26">
        <v>-111650000</v>
      </c>
      <c r="I6" s="26">
        <f>-1650000-20900000</f>
        <v>-22550000</v>
      </c>
      <c r="J6" s="26"/>
      <c r="K6" s="26">
        <v>-22012066</v>
      </c>
      <c r="L6" s="26"/>
      <c r="M6" s="26"/>
      <c r="N6" s="26"/>
      <c r="O6" s="8">
        <f t="shared" si="0"/>
        <v>-284912066</v>
      </c>
      <c r="R6" s="106"/>
      <c r="S6" s="107"/>
      <c r="T6" s="108"/>
    </row>
    <row r="7" spans="1:20" ht="18" outlineLevel="1" thickBot="1">
      <c r="A7" s="25" t="s">
        <v>107</v>
      </c>
      <c r="B7" s="25" t="s">
        <v>112</v>
      </c>
      <c r="C7" s="34"/>
      <c r="D7" s="34">
        <v>-5082500</v>
      </c>
      <c r="E7" s="34">
        <f>-(19170000+5082000+1430000)</f>
        <v>-25682000</v>
      </c>
      <c r="F7" s="34">
        <v>-5082000</v>
      </c>
      <c r="G7" s="34">
        <v>-1430000</v>
      </c>
      <c r="H7" s="26">
        <v>-162786088</v>
      </c>
      <c r="I7" s="26">
        <f>-15002526-1430000</f>
        <v>-16432526</v>
      </c>
      <c r="J7" s="26">
        <f>-1430000-15002526</f>
        <v>-16432526</v>
      </c>
      <c r="K7" s="26">
        <f>-1430000-15002526</f>
        <v>-16432526</v>
      </c>
      <c r="L7" s="26">
        <f>-1430000-15002526</f>
        <v>-16432526</v>
      </c>
      <c r="M7" s="26">
        <v>-1430000</v>
      </c>
      <c r="N7" s="26">
        <v>-46437578</v>
      </c>
      <c r="O7" s="8">
        <f t="shared" si="0"/>
        <v>-313660270</v>
      </c>
      <c r="R7" s="109"/>
      <c r="S7" s="110"/>
      <c r="T7" s="111"/>
    </row>
    <row r="8" spans="1:20" ht="18" outlineLevel="1" thickBot="1">
      <c r="A8" s="25" t="s">
        <v>108</v>
      </c>
      <c r="B8" s="25" t="s">
        <v>18</v>
      </c>
      <c r="C8" s="34"/>
      <c r="D8" s="34"/>
      <c r="E8" s="34"/>
      <c r="F8" s="34"/>
      <c r="G8" s="34"/>
      <c r="H8" s="26"/>
      <c r="I8" s="26">
        <f>-5318500-5318500-2279194</f>
        <v>-12916194</v>
      </c>
      <c r="J8" s="26">
        <f>-8281799-5318500-1650000-1989240</f>
        <v>-17239539</v>
      </c>
      <c r="K8" s="26">
        <f>-15500000+-2178000+-238000+-1039500+-346500+-390884769+-1100000+-13132878+-1650000+-418000+-5318500</f>
        <v>-431806147</v>
      </c>
      <c r="L8" s="26">
        <v>-30000</v>
      </c>
      <c r="M8" s="26">
        <v>-28056142</v>
      </c>
      <c r="N8" s="26">
        <f>-(1650000+9500705+5733280+6820280+1650000+1136300+44000+2761000+1697270+1305240+1149223+618220+303910+280000+410790+5318500+7252500)</f>
        <v>-47631218</v>
      </c>
      <c r="O8" s="8">
        <f t="shared" si="0"/>
        <v>-537679240</v>
      </c>
    </row>
    <row r="9" spans="1:20" ht="15" customHeight="1" outlineLevel="1">
      <c r="A9" s="11" t="s">
        <v>19</v>
      </c>
      <c r="B9" s="11" t="s">
        <v>20</v>
      </c>
      <c r="C9" s="34"/>
      <c r="D9" s="34"/>
      <c r="E9" s="34"/>
      <c r="F9" s="34"/>
      <c r="G9" s="34"/>
      <c r="H9" s="26"/>
      <c r="I9" s="26"/>
      <c r="J9" s="26">
        <f>-9363023-78410</f>
        <v>-9441433</v>
      </c>
      <c r="K9" s="26">
        <f>-94900</f>
        <v>-94900</v>
      </c>
      <c r="L9" s="26">
        <f>-26170920+-43528748</f>
        <v>-69699668</v>
      </c>
      <c r="M9" s="26">
        <v>-62434194</v>
      </c>
      <c r="N9" s="26">
        <f>-56257038-10000</f>
        <v>-56267038</v>
      </c>
      <c r="O9" s="8">
        <f t="shared" si="0"/>
        <v>-197937233</v>
      </c>
      <c r="R9" s="103" t="s">
        <v>116</v>
      </c>
      <c r="S9" s="104"/>
      <c r="T9" s="105"/>
    </row>
    <row r="10" spans="1:20" outlineLevel="1">
      <c r="A10" s="11" t="s">
        <v>21</v>
      </c>
      <c r="B10" s="11"/>
      <c r="C10" s="35">
        <f t="shared" ref="C10:N10" si="2">C11+C14+C15+C16</f>
        <v>0</v>
      </c>
      <c r="D10" s="35">
        <f t="shared" si="2"/>
        <v>0</v>
      </c>
      <c r="E10" s="35">
        <f t="shared" si="2"/>
        <v>0</v>
      </c>
      <c r="F10" s="35">
        <f t="shared" si="2"/>
        <v>0</v>
      </c>
      <c r="G10" s="35">
        <f t="shared" si="2"/>
        <v>0</v>
      </c>
      <c r="H10" s="35">
        <f t="shared" si="2"/>
        <v>0</v>
      </c>
      <c r="I10" s="35">
        <f t="shared" si="2"/>
        <v>-181500</v>
      </c>
      <c r="J10" s="35">
        <f>J11+J14+J15+J16</f>
        <v>-2167480</v>
      </c>
      <c r="K10" s="35">
        <f t="shared" si="2"/>
        <v>27812600</v>
      </c>
      <c r="L10" s="35">
        <f t="shared" si="2"/>
        <v>-62500</v>
      </c>
      <c r="M10" s="35">
        <f t="shared" si="2"/>
        <v>-30590</v>
      </c>
      <c r="N10" s="35">
        <f t="shared" si="2"/>
        <v>-17420</v>
      </c>
      <c r="O10" s="8">
        <f t="shared" si="0"/>
        <v>25353110</v>
      </c>
      <c r="R10" s="106"/>
      <c r="S10" s="107"/>
      <c r="T10" s="108"/>
    </row>
    <row r="11" spans="1:20" outlineLevel="2">
      <c r="A11" s="12" t="s">
        <v>22</v>
      </c>
      <c r="B11" s="12"/>
      <c r="C11" s="27">
        <f t="shared" ref="C11:N11" si="3">SUM(C12:C13)</f>
        <v>0</v>
      </c>
      <c r="D11" s="27">
        <f t="shared" si="3"/>
        <v>0</v>
      </c>
      <c r="E11" s="27">
        <f t="shared" si="3"/>
        <v>0</v>
      </c>
      <c r="F11" s="27">
        <f t="shared" si="3"/>
        <v>0</v>
      </c>
      <c r="G11" s="27">
        <f t="shared" si="3"/>
        <v>0</v>
      </c>
      <c r="H11" s="27">
        <f t="shared" si="3"/>
        <v>0</v>
      </c>
      <c r="I11" s="27">
        <f t="shared" si="3"/>
        <v>0</v>
      </c>
      <c r="J11" s="27">
        <f t="shared" si="3"/>
        <v>-1071170</v>
      </c>
      <c r="K11" s="27">
        <f t="shared" si="3"/>
        <v>0</v>
      </c>
      <c r="L11" s="27">
        <f t="shared" si="3"/>
        <v>0</v>
      </c>
      <c r="M11" s="27">
        <f t="shared" si="3"/>
        <v>0</v>
      </c>
      <c r="N11" s="27">
        <f t="shared" si="3"/>
        <v>-17420</v>
      </c>
      <c r="O11" s="8">
        <f>SUM(C11:N11)</f>
        <v>-1088590</v>
      </c>
      <c r="R11" s="106"/>
      <c r="S11" s="107"/>
      <c r="T11" s="108"/>
    </row>
    <row r="12" spans="1:20" outlineLevel="2">
      <c r="A12" s="39" t="s">
        <v>109</v>
      </c>
      <c r="B12" s="39" t="s">
        <v>23</v>
      </c>
      <c r="C12" s="34"/>
      <c r="D12" s="34"/>
      <c r="E12" s="34"/>
      <c r="F12" s="34"/>
      <c r="G12" s="34"/>
      <c r="H12" s="26"/>
      <c r="I12" s="26"/>
      <c r="J12" s="26"/>
      <c r="K12" s="26"/>
      <c r="L12" s="26"/>
      <c r="M12" s="26"/>
      <c r="N12" s="26"/>
      <c r="O12" s="8">
        <f>SUM(C12:N12)</f>
        <v>0</v>
      </c>
      <c r="R12" s="106"/>
      <c r="S12" s="107"/>
      <c r="T12" s="108"/>
    </row>
    <row r="13" spans="1:20" outlineLevel="2">
      <c r="A13" s="39" t="s">
        <v>110</v>
      </c>
      <c r="B13" s="39" t="s">
        <v>113</v>
      </c>
      <c r="C13" s="34"/>
      <c r="D13" s="34"/>
      <c r="E13" s="34"/>
      <c r="F13" s="34"/>
      <c r="G13" s="34"/>
      <c r="H13" s="26"/>
      <c r="I13" s="26"/>
      <c r="J13" s="26">
        <f>-889670-181500</f>
        <v>-1071170</v>
      </c>
      <c r="K13" s="26"/>
      <c r="L13" s="26"/>
      <c r="M13" s="26"/>
      <c r="N13" s="26">
        <v>-17420</v>
      </c>
      <c r="O13" s="8">
        <f t="shared" si="0"/>
        <v>-1088590</v>
      </c>
      <c r="R13" s="106"/>
      <c r="S13" s="107"/>
      <c r="T13" s="108"/>
    </row>
    <row r="14" spans="1:20" outlineLevel="2">
      <c r="A14" s="12" t="s">
        <v>24</v>
      </c>
      <c r="B14" s="12" t="s">
        <v>25</v>
      </c>
      <c r="C14" s="34"/>
      <c r="D14" s="34"/>
      <c r="E14" s="34"/>
      <c r="F14" s="34"/>
      <c r="G14" s="34"/>
      <c r="H14" s="26"/>
      <c r="I14" s="26"/>
      <c r="J14" s="26"/>
      <c r="K14" s="26"/>
      <c r="L14" s="26"/>
      <c r="M14" s="26"/>
      <c r="N14" s="26"/>
      <c r="O14" s="8">
        <f t="shared" si="0"/>
        <v>0</v>
      </c>
      <c r="R14" s="106"/>
      <c r="S14" s="107"/>
      <c r="T14" s="108"/>
    </row>
    <row r="15" spans="1:20" ht="18" outlineLevel="2" thickBot="1">
      <c r="A15" s="12" t="s">
        <v>26</v>
      </c>
      <c r="B15" s="12" t="s">
        <v>27</v>
      </c>
      <c r="C15" s="34"/>
      <c r="D15" s="34"/>
      <c r="E15" s="34"/>
      <c r="F15" s="34"/>
      <c r="G15" s="34"/>
      <c r="H15" s="26"/>
      <c r="I15" s="34">
        <v>-181500</v>
      </c>
      <c r="J15" s="26">
        <v>-1096310</v>
      </c>
      <c r="K15" s="26"/>
      <c r="L15" s="26">
        <f>-62500</f>
        <v>-62500</v>
      </c>
      <c r="M15" s="26"/>
      <c r="N15" s="26"/>
      <c r="O15" s="8">
        <f t="shared" si="0"/>
        <v>-1340310</v>
      </c>
      <c r="R15" s="109"/>
      <c r="S15" s="110"/>
      <c r="T15" s="111"/>
    </row>
    <row r="16" spans="1:20" outlineLevel="2">
      <c r="A16" s="12" t="s">
        <v>28</v>
      </c>
      <c r="B16" s="12" t="s">
        <v>29</v>
      </c>
      <c r="C16" s="34"/>
      <c r="D16" s="34"/>
      <c r="E16" s="34"/>
      <c r="F16" s="34"/>
      <c r="G16" s="34"/>
      <c r="H16" s="26"/>
      <c r="I16" s="26"/>
      <c r="J16" s="26"/>
      <c r="K16" s="26">
        <v>27812600</v>
      </c>
      <c r="L16" s="26"/>
      <c r="M16" s="26">
        <v>-30590</v>
      </c>
      <c r="N16" s="26"/>
      <c r="O16" s="8">
        <f t="shared" si="0"/>
        <v>27782010</v>
      </c>
    </row>
    <row r="17" spans="1:20" ht="18" outlineLevel="1" thickBot="1">
      <c r="A17" s="11" t="s">
        <v>30</v>
      </c>
      <c r="B17" s="11"/>
      <c r="C17" s="40">
        <f t="shared" ref="C17:N17" si="4">C10+C9+C5+C4</f>
        <v>0</v>
      </c>
      <c r="D17" s="40">
        <f t="shared" si="4"/>
        <v>-5082500</v>
      </c>
      <c r="E17" s="40">
        <f t="shared" si="4"/>
        <v>-147782000</v>
      </c>
      <c r="F17" s="40">
        <f t="shared" si="4"/>
        <v>-5082000</v>
      </c>
      <c r="G17" s="40">
        <f t="shared" si="4"/>
        <v>-8030000</v>
      </c>
      <c r="H17" s="40">
        <f t="shared" si="4"/>
        <v>-274436088</v>
      </c>
      <c r="I17" s="40">
        <f t="shared" si="4"/>
        <v>-52080220</v>
      </c>
      <c r="J17" s="35">
        <f t="shared" si="4"/>
        <v>-45280978</v>
      </c>
      <c r="K17" s="35">
        <f t="shared" si="4"/>
        <v>-442533039</v>
      </c>
      <c r="L17" s="35">
        <f t="shared" si="4"/>
        <v>-86224694</v>
      </c>
      <c r="M17" s="35">
        <f t="shared" si="4"/>
        <v>-91950926</v>
      </c>
      <c r="N17" s="35">
        <f t="shared" si="4"/>
        <v>-150353254</v>
      </c>
      <c r="O17" s="8">
        <f>SUM(C17:N17)</f>
        <v>-1308835699</v>
      </c>
    </row>
    <row r="18" spans="1:20" ht="15" customHeight="1" outlineLevel="1">
      <c r="A18" s="11" t="s">
        <v>31</v>
      </c>
      <c r="B18" s="11" t="s">
        <v>32</v>
      </c>
      <c r="C18" s="34"/>
      <c r="D18" s="34"/>
      <c r="E18" s="34"/>
      <c r="F18" s="34"/>
      <c r="G18" s="34"/>
      <c r="H18" s="26"/>
      <c r="I18" s="26"/>
      <c r="J18" s="26"/>
      <c r="K18" s="26"/>
      <c r="L18" s="26"/>
      <c r="M18" s="26"/>
      <c r="N18" s="26"/>
      <c r="O18" s="8">
        <f t="shared" si="0"/>
        <v>0</v>
      </c>
      <c r="R18" s="103" t="s">
        <v>117</v>
      </c>
      <c r="S18" s="104"/>
      <c r="T18" s="105"/>
    </row>
    <row r="19" spans="1:20" ht="18" outlineLevel="1" thickBot="1">
      <c r="A19" s="13" t="s">
        <v>33</v>
      </c>
      <c r="B19" s="13" t="s">
        <v>34</v>
      </c>
      <c r="C19" s="32"/>
      <c r="D19" s="32"/>
      <c r="E19" s="32"/>
      <c r="F19" s="32"/>
      <c r="G19" s="32"/>
      <c r="H19" s="38">
        <v>-1490</v>
      </c>
      <c r="I19" s="38"/>
      <c r="J19" s="38"/>
      <c r="K19" s="38">
        <f>-16500+-170020+-2608680+-260860</f>
        <v>-3056060</v>
      </c>
      <c r="L19" s="38">
        <f>-187050+-5323660+-532350</f>
        <v>-6043060</v>
      </c>
      <c r="M19" s="38">
        <v>-6633280</v>
      </c>
      <c r="N19" s="38">
        <f>-(39000+390000+7930340+793000)</f>
        <v>-9152340</v>
      </c>
      <c r="O19" s="8">
        <f t="shared" si="0"/>
        <v>-24886230</v>
      </c>
      <c r="R19" s="106"/>
      <c r="S19" s="107"/>
      <c r="T19" s="108"/>
    </row>
    <row r="20" spans="1:20" ht="18" outlineLevel="1" thickBot="1">
      <c r="A20" s="14" t="s">
        <v>35</v>
      </c>
      <c r="B20" s="15"/>
      <c r="C20" s="41">
        <f t="shared" ref="C20:N20" si="5">C17+C18+C19</f>
        <v>0</v>
      </c>
      <c r="D20" s="41">
        <f t="shared" si="5"/>
        <v>-5082500</v>
      </c>
      <c r="E20" s="41">
        <f t="shared" si="5"/>
        <v>-147782000</v>
      </c>
      <c r="F20" s="41">
        <f t="shared" si="5"/>
        <v>-5082000</v>
      </c>
      <c r="G20" s="41">
        <f t="shared" si="5"/>
        <v>-8030000</v>
      </c>
      <c r="H20" s="41">
        <f t="shared" si="5"/>
        <v>-274437578</v>
      </c>
      <c r="I20" s="41">
        <f t="shared" si="5"/>
        <v>-52080220</v>
      </c>
      <c r="J20" s="31">
        <f t="shared" si="5"/>
        <v>-45280978</v>
      </c>
      <c r="K20" s="31">
        <f t="shared" si="5"/>
        <v>-445589099</v>
      </c>
      <c r="L20" s="31">
        <f t="shared" si="5"/>
        <v>-92267754</v>
      </c>
      <c r="M20" s="31">
        <f t="shared" si="5"/>
        <v>-98584206</v>
      </c>
      <c r="N20" s="31">
        <f t="shared" si="5"/>
        <v>-159505594</v>
      </c>
      <c r="O20" s="8">
        <f>SUM(C20:N20)</f>
        <v>-1333721929</v>
      </c>
      <c r="R20" s="106"/>
      <c r="S20" s="107"/>
      <c r="T20" s="108"/>
    </row>
    <row r="21" spans="1:20" outlineLevel="1">
      <c r="A21" s="17" t="s">
        <v>36</v>
      </c>
      <c r="B21" s="17"/>
      <c r="C21" s="37"/>
      <c r="D21" s="37"/>
      <c r="E21" s="37"/>
      <c r="F21" s="37"/>
      <c r="G21" s="28"/>
      <c r="H21" s="28"/>
      <c r="I21" s="28"/>
      <c r="J21" s="28"/>
      <c r="K21" s="28"/>
      <c r="L21" s="28"/>
      <c r="M21" s="28"/>
      <c r="N21" s="28"/>
      <c r="O21" s="18"/>
      <c r="R21" s="106"/>
      <c r="S21" s="107"/>
      <c r="T21" s="108"/>
    </row>
    <row r="22" spans="1:20" ht="18" outlineLevel="1" thickBot="1">
      <c r="A22" s="11" t="s">
        <v>37</v>
      </c>
      <c r="B22" s="11"/>
      <c r="C22" s="35">
        <f t="shared" ref="C22:N22" si="6">SUM(C23:C30)</f>
        <v>0</v>
      </c>
      <c r="D22" s="35">
        <f t="shared" si="6"/>
        <v>0</v>
      </c>
      <c r="E22" s="35">
        <f t="shared" si="6"/>
        <v>0</v>
      </c>
      <c r="F22" s="35">
        <f t="shared" si="6"/>
        <v>0</v>
      </c>
      <c r="G22" s="35">
        <f t="shared" si="6"/>
        <v>0</v>
      </c>
      <c r="H22" s="35">
        <f t="shared" si="6"/>
        <v>9676</v>
      </c>
      <c r="I22" s="35">
        <f t="shared" si="6"/>
        <v>0</v>
      </c>
      <c r="J22" s="35">
        <f t="shared" si="6"/>
        <v>0</v>
      </c>
      <c r="K22" s="35">
        <f t="shared" si="6"/>
        <v>0</v>
      </c>
      <c r="L22" s="35">
        <f t="shared" si="6"/>
        <v>0</v>
      </c>
      <c r="M22" s="35">
        <f t="shared" si="6"/>
        <v>0</v>
      </c>
      <c r="N22" s="35">
        <f t="shared" si="6"/>
        <v>113166</v>
      </c>
      <c r="O22" s="8">
        <f>SUM(C22:N22)</f>
        <v>122842</v>
      </c>
      <c r="R22" s="109"/>
      <c r="S22" s="110"/>
      <c r="T22" s="111"/>
    </row>
    <row r="23" spans="1:20" ht="18" outlineLevel="2" thickBot="1">
      <c r="A23" s="12" t="s">
        <v>38</v>
      </c>
      <c r="B23" s="12" t="s">
        <v>39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8">
        <f t="shared" ref="O23:O37" si="7">SUM(C23:N23)</f>
        <v>0</v>
      </c>
    </row>
    <row r="24" spans="1:20" ht="15" customHeight="1" outlineLevel="2">
      <c r="A24" s="12" t="s">
        <v>40</v>
      </c>
      <c r="B24" s="12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8">
        <f t="shared" si="7"/>
        <v>0</v>
      </c>
      <c r="R24" s="103" t="s">
        <v>118</v>
      </c>
      <c r="S24" s="104"/>
      <c r="T24" s="105"/>
    </row>
    <row r="25" spans="1:20" outlineLevel="2">
      <c r="A25" s="12" t="s">
        <v>42</v>
      </c>
      <c r="B25" s="12" t="s">
        <v>43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8">
        <f t="shared" si="7"/>
        <v>0</v>
      </c>
      <c r="R25" s="106"/>
      <c r="S25" s="107"/>
      <c r="T25" s="108"/>
    </row>
    <row r="26" spans="1:20" outlineLevel="2">
      <c r="A26" s="12" t="s">
        <v>44</v>
      </c>
      <c r="B26" s="12" t="s">
        <v>45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8">
        <f t="shared" si="7"/>
        <v>0</v>
      </c>
      <c r="R26" s="106"/>
      <c r="S26" s="107"/>
      <c r="T26" s="108"/>
    </row>
    <row r="27" spans="1:20" outlineLevel="2">
      <c r="A27" s="12" t="s">
        <v>46</v>
      </c>
      <c r="B27" s="12" t="s">
        <v>47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8">
        <f t="shared" si="7"/>
        <v>0</v>
      </c>
      <c r="R27" s="106"/>
      <c r="S27" s="107"/>
      <c r="T27" s="108"/>
    </row>
    <row r="28" spans="1:20" outlineLevel="2">
      <c r="A28" s="12" t="s">
        <v>48</v>
      </c>
      <c r="B28" s="12" t="s">
        <v>49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8">
        <f t="shared" si="7"/>
        <v>0</v>
      </c>
      <c r="R28" s="106"/>
      <c r="S28" s="107"/>
      <c r="T28" s="108"/>
    </row>
    <row r="29" spans="1:20" outlineLevel="2">
      <c r="A29" s="12" t="s">
        <v>50</v>
      </c>
      <c r="B29" s="12" t="s">
        <v>51</v>
      </c>
      <c r="C29" s="26"/>
      <c r="D29" s="26"/>
      <c r="E29" s="26"/>
      <c r="F29" s="26"/>
      <c r="G29" s="26"/>
      <c r="H29" s="26">
        <v>9676</v>
      </c>
      <c r="I29" s="26"/>
      <c r="J29" s="26"/>
      <c r="K29" s="26"/>
      <c r="L29" s="26"/>
      <c r="M29" s="26"/>
      <c r="N29" s="26">
        <v>113166</v>
      </c>
      <c r="O29" s="8">
        <f t="shared" si="7"/>
        <v>122842</v>
      </c>
      <c r="R29" s="106"/>
      <c r="S29" s="107"/>
      <c r="T29" s="108"/>
    </row>
    <row r="30" spans="1:20" outlineLevel="2">
      <c r="A30" s="12" t="s">
        <v>52</v>
      </c>
      <c r="B30" s="12" t="s">
        <v>53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8">
        <f t="shared" si="7"/>
        <v>0</v>
      </c>
      <c r="R30" s="106"/>
      <c r="S30" s="107"/>
      <c r="T30" s="108"/>
    </row>
    <row r="31" spans="1:20" ht="18" outlineLevel="1" thickBot="1">
      <c r="A31" s="11" t="s">
        <v>54</v>
      </c>
      <c r="B31" s="11"/>
      <c r="C31" s="35">
        <f t="shared" ref="C31:N31" si="8">SUM(C32:C36)</f>
        <v>0</v>
      </c>
      <c r="D31" s="35">
        <f t="shared" si="8"/>
        <v>0</v>
      </c>
      <c r="E31" s="35">
        <f t="shared" si="8"/>
        <v>0</v>
      </c>
      <c r="F31" s="35">
        <f t="shared" si="8"/>
        <v>0</v>
      </c>
      <c r="G31" s="35">
        <f t="shared" si="8"/>
        <v>0</v>
      </c>
      <c r="H31" s="35">
        <f t="shared" si="8"/>
        <v>0</v>
      </c>
      <c r="I31" s="35">
        <f t="shared" si="8"/>
        <v>0</v>
      </c>
      <c r="J31" s="35">
        <f t="shared" si="8"/>
        <v>0</v>
      </c>
      <c r="K31" s="35">
        <f t="shared" si="8"/>
        <v>-11314896</v>
      </c>
      <c r="L31" s="35">
        <f t="shared" si="8"/>
        <v>-1045000</v>
      </c>
      <c r="M31" s="35">
        <f t="shared" si="8"/>
        <v>0</v>
      </c>
      <c r="N31" s="35">
        <f t="shared" si="8"/>
        <v>0</v>
      </c>
      <c r="O31" s="8">
        <f>SUM(C31:N31)</f>
        <v>-12359896</v>
      </c>
      <c r="R31" s="109"/>
      <c r="S31" s="110"/>
      <c r="T31" s="111"/>
    </row>
    <row r="32" spans="1:20" outlineLevel="2">
      <c r="A32" s="12" t="s">
        <v>55</v>
      </c>
      <c r="B32" s="12" t="s">
        <v>56</v>
      </c>
      <c r="C32" s="26"/>
      <c r="D32" s="26"/>
      <c r="E32" s="26"/>
      <c r="F32" s="26"/>
      <c r="G32" s="26"/>
      <c r="H32" s="26"/>
      <c r="I32" s="26"/>
      <c r="J32" s="26"/>
      <c r="K32" s="26">
        <f>-5794740+-4020156</f>
        <v>-9814896</v>
      </c>
      <c r="L32" s="26"/>
      <c r="M32" s="26"/>
      <c r="N32" s="26"/>
      <c r="O32" s="8">
        <f t="shared" si="7"/>
        <v>-9814896</v>
      </c>
    </row>
    <row r="33" spans="1:15" outlineLevel="2">
      <c r="A33" s="12" t="s">
        <v>57</v>
      </c>
      <c r="B33" s="12" t="s">
        <v>58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8">
        <f t="shared" si="7"/>
        <v>0</v>
      </c>
    </row>
    <row r="34" spans="1:15" outlineLevel="2">
      <c r="A34" s="12" t="s">
        <v>59</v>
      </c>
      <c r="B34" s="12" t="s">
        <v>60</v>
      </c>
      <c r="C34" s="26"/>
      <c r="D34" s="26"/>
      <c r="E34" s="26"/>
      <c r="F34" s="26"/>
      <c r="G34" s="26"/>
      <c r="H34" s="26"/>
      <c r="I34" s="26"/>
      <c r="J34" s="26"/>
      <c r="K34" s="26">
        <v>-1500000</v>
      </c>
      <c r="L34" s="26">
        <v>-1045000</v>
      </c>
      <c r="M34" s="26"/>
      <c r="N34" s="26"/>
      <c r="O34" s="8">
        <f t="shared" si="7"/>
        <v>-2545000</v>
      </c>
    </row>
    <row r="35" spans="1:15" outlineLevel="2">
      <c r="A35" s="12" t="s">
        <v>61</v>
      </c>
      <c r="B35" s="12" t="s">
        <v>62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8">
        <f t="shared" si="7"/>
        <v>0</v>
      </c>
    </row>
    <row r="36" spans="1:15" ht="18" outlineLevel="2" thickBot="1">
      <c r="A36" s="12" t="s">
        <v>63</v>
      </c>
      <c r="B36" s="12" t="s">
        <v>64</v>
      </c>
      <c r="C36" s="34"/>
      <c r="D36" s="34"/>
      <c r="E36" s="34"/>
      <c r="F36" s="34"/>
      <c r="G36" s="34"/>
      <c r="H36" s="26"/>
      <c r="I36" s="26"/>
      <c r="J36" s="26"/>
      <c r="K36" s="26"/>
      <c r="L36" s="26"/>
      <c r="M36" s="26"/>
      <c r="N36" s="26"/>
      <c r="O36" s="8">
        <f t="shared" si="7"/>
        <v>0</v>
      </c>
    </row>
    <row r="37" spans="1:15" ht="18" outlineLevel="1" thickBot="1">
      <c r="A37" s="14" t="s">
        <v>65</v>
      </c>
      <c r="B37" s="15"/>
      <c r="C37" s="31">
        <f t="shared" ref="C37:N37" si="9">C31+C22</f>
        <v>0</v>
      </c>
      <c r="D37" s="31">
        <f t="shared" si="9"/>
        <v>0</v>
      </c>
      <c r="E37" s="31">
        <f t="shared" si="9"/>
        <v>0</v>
      </c>
      <c r="F37" s="31">
        <f t="shared" si="9"/>
        <v>0</v>
      </c>
      <c r="G37" s="31">
        <f t="shared" si="9"/>
        <v>0</v>
      </c>
      <c r="H37" s="31">
        <f t="shared" si="9"/>
        <v>9676</v>
      </c>
      <c r="I37" s="31">
        <f t="shared" si="9"/>
        <v>0</v>
      </c>
      <c r="J37" s="31">
        <f t="shared" si="9"/>
        <v>0</v>
      </c>
      <c r="K37" s="31">
        <f t="shared" si="9"/>
        <v>-11314896</v>
      </c>
      <c r="L37" s="31">
        <f t="shared" si="9"/>
        <v>-1045000</v>
      </c>
      <c r="M37" s="31">
        <f t="shared" si="9"/>
        <v>0</v>
      </c>
      <c r="N37" s="30">
        <f t="shared" si="9"/>
        <v>113166</v>
      </c>
      <c r="O37" s="8">
        <f t="shared" si="7"/>
        <v>-12237054</v>
      </c>
    </row>
    <row r="38" spans="1:15" outlineLevel="1">
      <c r="A38" s="7" t="s">
        <v>66</v>
      </c>
      <c r="B38" s="7"/>
      <c r="C38" s="29"/>
      <c r="D38" s="29"/>
      <c r="E38" s="29"/>
      <c r="F38" s="29"/>
      <c r="G38" s="35"/>
      <c r="H38" s="35"/>
      <c r="I38" s="35"/>
      <c r="J38" s="35"/>
      <c r="K38" s="35"/>
      <c r="L38" s="35"/>
      <c r="M38" s="35"/>
      <c r="N38" s="35"/>
      <c r="O38" s="8"/>
    </row>
    <row r="39" spans="1:15" outlineLevel="1">
      <c r="A39" s="11" t="s">
        <v>37</v>
      </c>
      <c r="B39" s="11"/>
      <c r="C39" s="29">
        <f t="shared" ref="C39:N39" si="10">C40+C43+C46+C47+C48+C49+C50</f>
        <v>100000000</v>
      </c>
      <c r="D39" s="29">
        <f t="shared" si="10"/>
        <v>0</v>
      </c>
      <c r="E39" s="29">
        <f t="shared" si="10"/>
        <v>200000000</v>
      </c>
      <c r="F39" s="29">
        <f t="shared" si="10"/>
        <v>0</v>
      </c>
      <c r="G39" s="29">
        <f t="shared" si="10"/>
        <v>0</v>
      </c>
      <c r="H39" s="29">
        <f t="shared" si="10"/>
        <v>423000000</v>
      </c>
      <c r="I39" s="29">
        <f t="shared" si="10"/>
        <v>0</v>
      </c>
      <c r="J39" s="29">
        <f t="shared" si="10"/>
        <v>0</v>
      </c>
      <c r="K39" s="29">
        <f t="shared" si="10"/>
        <v>410000000</v>
      </c>
      <c r="L39" s="29">
        <f t="shared" si="10"/>
        <v>-1394470</v>
      </c>
      <c r="M39" s="29">
        <f t="shared" si="10"/>
        <v>500000000</v>
      </c>
      <c r="N39" s="29">
        <f t="shared" si="10"/>
        <v>-10231350</v>
      </c>
      <c r="O39" s="8">
        <f>SUM(C39:N39)</f>
        <v>1621374180</v>
      </c>
    </row>
    <row r="40" spans="1:15" outlineLevel="2">
      <c r="A40" s="12" t="s">
        <v>67</v>
      </c>
      <c r="B40" s="12"/>
      <c r="C40" s="29">
        <f t="shared" ref="C40:O40" si="11">SUM(C41:C42)</f>
        <v>0</v>
      </c>
      <c r="D40" s="29">
        <f t="shared" si="11"/>
        <v>0</v>
      </c>
      <c r="E40" s="29">
        <f t="shared" si="11"/>
        <v>200000000</v>
      </c>
      <c r="F40" s="29">
        <f t="shared" si="11"/>
        <v>0</v>
      </c>
      <c r="G40" s="29">
        <f t="shared" si="11"/>
        <v>0</v>
      </c>
      <c r="H40" s="29">
        <f t="shared" si="11"/>
        <v>423000000</v>
      </c>
      <c r="I40" s="29">
        <f t="shared" si="11"/>
        <v>0</v>
      </c>
      <c r="J40" s="29">
        <f t="shared" si="11"/>
        <v>0</v>
      </c>
      <c r="K40" s="29">
        <f t="shared" si="11"/>
        <v>410000000</v>
      </c>
      <c r="L40" s="29">
        <f t="shared" si="11"/>
        <v>0</v>
      </c>
      <c r="M40" s="29">
        <f t="shared" si="11"/>
        <v>500000000</v>
      </c>
      <c r="N40" s="29">
        <f t="shared" si="11"/>
        <v>0</v>
      </c>
      <c r="O40" s="8">
        <f t="shared" si="11"/>
        <v>1533000000</v>
      </c>
    </row>
    <row r="41" spans="1:15" outlineLevel="2">
      <c r="A41" s="39" t="s">
        <v>119</v>
      </c>
      <c r="B41" s="12" t="s">
        <v>68</v>
      </c>
      <c r="C41" s="34"/>
      <c r="D41" s="34"/>
      <c r="E41" s="34">
        <v>200000000</v>
      </c>
      <c r="F41" s="34"/>
      <c r="G41" s="34"/>
      <c r="H41" s="26">
        <v>423000000</v>
      </c>
      <c r="I41" s="26"/>
      <c r="J41" s="26"/>
      <c r="K41" s="26">
        <v>410000000</v>
      </c>
      <c r="L41" s="26"/>
      <c r="M41" s="26">
        <v>500000000</v>
      </c>
      <c r="N41" s="26"/>
      <c r="O41" s="8">
        <f>SUM(C41:N41)</f>
        <v>1533000000</v>
      </c>
    </row>
    <row r="42" spans="1:15" outlineLevel="2">
      <c r="A42" s="39" t="s">
        <v>120</v>
      </c>
      <c r="B42" s="12" t="s">
        <v>123</v>
      </c>
      <c r="C42" s="34"/>
      <c r="D42" s="34"/>
      <c r="E42" s="34"/>
      <c r="F42" s="34"/>
      <c r="G42" s="34"/>
      <c r="H42" s="26"/>
      <c r="I42" s="26"/>
      <c r="J42" s="26"/>
      <c r="K42" s="26"/>
      <c r="L42" s="26"/>
      <c r="M42" s="26"/>
      <c r="N42" s="26"/>
      <c r="O42" s="8">
        <f>SUM(C42:N42)</f>
        <v>0</v>
      </c>
    </row>
    <row r="43" spans="1:15" outlineLevel="2">
      <c r="A43" s="12" t="s">
        <v>69</v>
      </c>
      <c r="B43" s="12"/>
      <c r="C43" s="29">
        <f t="shared" ref="C43:N43" si="12">SUM(C44:C45)</f>
        <v>0</v>
      </c>
      <c r="D43" s="29">
        <f t="shared" si="12"/>
        <v>0</v>
      </c>
      <c r="E43" s="29">
        <f t="shared" si="12"/>
        <v>0</v>
      </c>
      <c r="F43" s="29">
        <f t="shared" si="12"/>
        <v>0</v>
      </c>
      <c r="G43" s="29">
        <f t="shared" si="12"/>
        <v>0</v>
      </c>
      <c r="H43" s="29">
        <f t="shared" si="12"/>
        <v>0</v>
      </c>
      <c r="I43" s="29">
        <f t="shared" si="12"/>
        <v>0</v>
      </c>
      <c r="J43" s="29">
        <f t="shared" si="12"/>
        <v>0</v>
      </c>
      <c r="K43" s="29">
        <f t="shared" si="12"/>
        <v>0</v>
      </c>
      <c r="L43" s="29">
        <f t="shared" si="12"/>
        <v>0</v>
      </c>
      <c r="M43" s="29">
        <f t="shared" si="12"/>
        <v>0</v>
      </c>
      <c r="N43" s="29">
        <f t="shared" si="12"/>
        <v>0</v>
      </c>
      <c r="O43" s="8">
        <f>SUM(O44:O45)</f>
        <v>0</v>
      </c>
    </row>
    <row r="44" spans="1:15" outlineLevel="2">
      <c r="A44" s="39" t="s">
        <v>121</v>
      </c>
      <c r="B44" s="12" t="s">
        <v>70</v>
      </c>
      <c r="C44" s="34"/>
      <c r="D44" s="34"/>
      <c r="E44" s="34"/>
      <c r="F44" s="34"/>
      <c r="G44" s="34"/>
      <c r="H44" s="26"/>
      <c r="I44" s="26"/>
      <c r="J44" s="26"/>
      <c r="K44" s="26"/>
      <c r="L44" s="26"/>
      <c r="M44" s="26"/>
      <c r="N44" s="26"/>
      <c r="O44" s="8">
        <f>SUM(C44:N44)</f>
        <v>0</v>
      </c>
    </row>
    <row r="45" spans="1:15" outlineLevel="2">
      <c r="A45" s="39" t="s">
        <v>122</v>
      </c>
      <c r="B45" s="12" t="s">
        <v>124</v>
      </c>
      <c r="C45" s="34"/>
      <c r="D45" s="34"/>
      <c r="E45" s="34"/>
      <c r="F45" s="34"/>
      <c r="G45" s="34"/>
      <c r="H45" s="26"/>
      <c r="I45" s="26"/>
      <c r="J45" s="26"/>
      <c r="K45" s="26"/>
      <c r="L45" s="26"/>
      <c r="M45" s="26"/>
      <c r="N45" s="26"/>
      <c r="O45" s="8">
        <f>SUM(C45:N45)</f>
        <v>0</v>
      </c>
    </row>
    <row r="46" spans="1:15" outlineLevel="2">
      <c r="A46" s="12" t="s">
        <v>71</v>
      </c>
      <c r="B46" s="12" t="s">
        <v>72</v>
      </c>
      <c r="C46" s="34">
        <v>100000000</v>
      </c>
      <c r="D46" s="34"/>
      <c r="E46" s="34"/>
      <c r="F46" s="34"/>
      <c r="G46" s="34"/>
      <c r="H46" s="26"/>
      <c r="I46" s="26"/>
      <c r="J46" s="26"/>
      <c r="K46" s="26"/>
      <c r="L46" s="26"/>
      <c r="M46" s="26"/>
      <c r="N46" s="26"/>
      <c r="O46" s="8">
        <f t="shared" ref="O46:O63" si="13">SUM(C46:N46)</f>
        <v>100000000</v>
      </c>
    </row>
    <row r="47" spans="1:15" outlineLevel="2">
      <c r="A47" s="12" t="s">
        <v>73</v>
      </c>
      <c r="B47" s="12" t="s">
        <v>74</v>
      </c>
      <c r="C47" s="34"/>
      <c r="D47" s="34"/>
      <c r="E47" s="34"/>
      <c r="F47" s="34"/>
      <c r="G47" s="34"/>
      <c r="H47" s="26"/>
      <c r="I47" s="26"/>
      <c r="J47" s="26"/>
      <c r="K47" s="26"/>
      <c r="L47" s="26">
        <v>-1394470</v>
      </c>
      <c r="M47" s="26"/>
      <c r="N47" s="26">
        <v>-10231350</v>
      </c>
      <c r="O47" s="8">
        <f t="shared" si="13"/>
        <v>-11625820</v>
      </c>
    </row>
    <row r="48" spans="1:15" outlineLevel="2">
      <c r="A48" s="12" t="s">
        <v>75</v>
      </c>
      <c r="B48" s="12" t="s">
        <v>76</v>
      </c>
      <c r="C48" s="34"/>
      <c r="D48" s="34"/>
      <c r="E48" s="34"/>
      <c r="F48" s="34"/>
      <c r="G48" s="34"/>
      <c r="H48" s="26"/>
      <c r="I48" s="26"/>
      <c r="J48" s="26"/>
      <c r="K48" s="26"/>
      <c r="L48" s="26"/>
      <c r="M48" s="26"/>
      <c r="N48" s="26"/>
      <c r="O48" s="8">
        <f t="shared" si="13"/>
        <v>0</v>
      </c>
    </row>
    <row r="49" spans="1:15" outlineLevel="2">
      <c r="A49" s="12" t="s">
        <v>77</v>
      </c>
      <c r="B49" s="12" t="s">
        <v>78</v>
      </c>
      <c r="C49" s="34"/>
      <c r="D49" s="34"/>
      <c r="E49" s="34"/>
      <c r="F49" s="34"/>
      <c r="G49" s="34"/>
      <c r="H49" s="26"/>
      <c r="I49" s="26"/>
      <c r="J49" s="26"/>
      <c r="K49" s="26"/>
      <c r="L49" s="26"/>
      <c r="M49" s="26"/>
      <c r="N49" s="26"/>
      <c r="O49" s="8">
        <f t="shared" si="13"/>
        <v>0</v>
      </c>
    </row>
    <row r="50" spans="1:15" outlineLevel="2">
      <c r="A50" s="12" t="s">
        <v>79</v>
      </c>
      <c r="B50" s="12" t="s">
        <v>80</v>
      </c>
      <c r="C50" s="34"/>
      <c r="D50" s="34"/>
      <c r="E50" s="34"/>
      <c r="F50" s="34"/>
      <c r="G50" s="34"/>
      <c r="H50" s="26"/>
      <c r="I50" s="26"/>
      <c r="J50" s="26"/>
      <c r="K50" s="26"/>
      <c r="L50" s="26"/>
      <c r="M50" s="26"/>
      <c r="N50" s="26"/>
      <c r="O50" s="8">
        <f t="shared" si="13"/>
        <v>0</v>
      </c>
    </row>
    <row r="51" spans="1:15" outlineLevel="1">
      <c r="A51" s="11" t="s">
        <v>54</v>
      </c>
      <c r="B51" s="11"/>
      <c r="C51" s="29">
        <f t="shared" ref="C51:O51" si="14">C52+C55+C58+C59+C60+C61+C62+C63</f>
        <v>0</v>
      </c>
      <c r="D51" s="29">
        <f t="shared" si="14"/>
        <v>0</v>
      </c>
      <c r="E51" s="29">
        <f t="shared" si="14"/>
        <v>0</v>
      </c>
      <c r="F51" s="29">
        <f t="shared" si="14"/>
        <v>0</v>
      </c>
      <c r="G51" s="29">
        <f t="shared" si="14"/>
        <v>0</v>
      </c>
      <c r="H51" s="29">
        <f t="shared" si="14"/>
        <v>0</v>
      </c>
      <c r="I51" s="29">
        <f t="shared" si="14"/>
        <v>0</v>
      </c>
      <c r="J51" s="29">
        <f t="shared" si="14"/>
        <v>0</v>
      </c>
      <c r="K51" s="29">
        <f t="shared" si="14"/>
        <v>0</v>
      </c>
      <c r="L51" s="29">
        <f t="shared" si="14"/>
        <v>0</v>
      </c>
      <c r="M51" s="29">
        <f t="shared" si="14"/>
        <v>0</v>
      </c>
      <c r="N51" s="29">
        <f t="shared" si="14"/>
        <v>0</v>
      </c>
      <c r="O51" s="8">
        <f t="shared" si="14"/>
        <v>0</v>
      </c>
    </row>
    <row r="52" spans="1:15" outlineLevel="2">
      <c r="A52" s="12" t="s">
        <v>81</v>
      </c>
      <c r="B52" s="12"/>
      <c r="C52" s="29">
        <f t="shared" ref="C52:H52" si="15">SUM(C53:C54)</f>
        <v>0</v>
      </c>
      <c r="D52" s="29">
        <f t="shared" si="15"/>
        <v>0</v>
      </c>
      <c r="E52" s="29">
        <f t="shared" si="15"/>
        <v>0</v>
      </c>
      <c r="F52" s="29">
        <f t="shared" si="15"/>
        <v>0</v>
      </c>
      <c r="G52" s="29">
        <f t="shared" si="15"/>
        <v>0</v>
      </c>
      <c r="H52" s="29">
        <f t="shared" si="15"/>
        <v>0</v>
      </c>
      <c r="I52" s="29">
        <f t="shared" ref="I52:N52" si="16">SUM(I53:I54)</f>
        <v>0</v>
      </c>
      <c r="J52" s="29">
        <f t="shared" si="16"/>
        <v>0</v>
      </c>
      <c r="K52" s="29">
        <f t="shared" si="16"/>
        <v>0</v>
      </c>
      <c r="L52" s="29">
        <f t="shared" si="16"/>
        <v>0</v>
      </c>
      <c r="M52" s="29">
        <f t="shared" si="16"/>
        <v>0</v>
      </c>
      <c r="N52" s="29">
        <f t="shared" si="16"/>
        <v>0</v>
      </c>
      <c r="O52" s="8">
        <f>SUM(O53:O54)</f>
        <v>0</v>
      </c>
    </row>
    <row r="53" spans="1:15" outlineLevel="2">
      <c r="A53" s="39" t="s">
        <v>125</v>
      </c>
      <c r="B53" s="12" t="s">
        <v>82</v>
      </c>
      <c r="C53" s="36"/>
      <c r="D53" s="36"/>
      <c r="E53" s="36"/>
      <c r="F53" s="36"/>
      <c r="G53" s="36"/>
      <c r="H53" s="26"/>
      <c r="I53" s="26"/>
      <c r="J53" s="26"/>
      <c r="K53" s="26"/>
      <c r="L53" s="26"/>
      <c r="M53" s="26"/>
      <c r="N53" s="26"/>
      <c r="O53" s="8">
        <f>SUM(C53:N53)</f>
        <v>0</v>
      </c>
    </row>
    <row r="54" spans="1:15" outlineLevel="2">
      <c r="A54" s="39" t="s">
        <v>126</v>
      </c>
      <c r="B54" s="12" t="s">
        <v>129</v>
      </c>
      <c r="C54" s="36"/>
      <c r="D54" s="36"/>
      <c r="E54" s="36"/>
      <c r="F54" s="36"/>
      <c r="G54" s="36"/>
      <c r="H54" s="26"/>
      <c r="I54" s="26"/>
      <c r="J54" s="26"/>
      <c r="K54" s="26"/>
      <c r="L54" s="26"/>
      <c r="M54" s="26"/>
      <c r="N54" s="26"/>
      <c r="O54" s="8">
        <f>SUM(C54:N54)</f>
        <v>0</v>
      </c>
    </row>
    <row r="55" spans="1:15" outlineLevel="2">
      <c r="A55" s="12" t="s">
        <v>83</v>
      </c>
      <c r="B55" s="12"/>
      <c r="C55" s="29">
        <f t="shared" ref="C55:N55" si="17">SUM(C56:C57)</f>
        <v>0</v>
      </c>
      <c r="D55" s="29">
        <f t="shared" si="17"/>
        <v>0</v>
      </c>
      <c r="E55" s="29">
        <f t="shared" si="17"/>
        <v>0</v>
      </c>
      <c r="F55" s="29">
        <f t="shared" si="17"/>
        <v>0</v>
      </c>
      <c r="G55" s="29">
        <f t="shared" si="17"/>
        <v>0</v>
      </c>
      <c r="H55" s="29">
        <f t="shared" si="17"/>
        <v>0</v>
      </c>
      <c r="I55" s="29">
        <f t="shared" si="17"/>
        <v>0</v>
      </c>
      <c r="J55" s="29">
        <f t="shared" si="17"/>
        <v>0</v>
      </c>
      <c r="K55" s="29">
        <f t="shared" si="17"/>
        <v>0</v>
      </c>
      <c r="L55" s="29">
        <f t="shared" si="17"/>
        <v>0</v>
      </c>
      <c r="M55" s="29">
        <f t="shared" si="17"/>
        <v>0</v>
      </c>
      <c r="N55" s="29">
        <f t="shared" si="17"/>
        <v>0</v>
      </c>
      <c r="O55" s="8">
        <f>SUM(O56:O57)</f>
        <v>0</v>
      </c>
    </row>
    <row r="56" spans="1:15" outlineLevel="2">
      <c r="A56" s="39" t="s">
        <v>127</v>
      </c>
      <c r="B56" s="12" t="s">
        <v>84</v>
      </c>
      <c r="C56" s="36"/>
      <c r="D56" s="36"/>
      <c r="E56" s="36"/>
      <c r="F56" s="36"/>
      <c r="G56" s="36"/>
      <c r="H56" s="26"/>
      <c r="I56" s="26"/>
      <c r="J56" s="26"/>
      <c r="K56" s="26"/>
      <c r="L56" s="26"/>
      <c r="M56" s="26"/>
      <c r="N56" s="26"/>
      <c r="O56" s="8">
        <f>SUM(C56:N56)</f>
        <v>0</v>
      </c>
    </row>
    <row r="57" spans="1:15" outlineLevel="2">
      <c r="A57" s="39" t="s">
        <v>128</v>
      </c>
      <c r="B57" s="12" t="s">
        <v>130</v>
      </c>
      <c r="C57" s="36"/>
      <c r="D57" s="36"/>
      <c r="E57" s="36"/>
      <c r="F57" s="36"/>
      <c r="G57" s="36"/>
      <c r="H57" s="26"/>
      <c r="I57" s="26"/>
      <c r="J57" s="26"/>
      <c r="K57" s="26"/>
      <c r="L57" s="26"/>
      <c r="M57" s="26"/>
      <c r="N57" s="26"/>
      <c r="O57" s="8">
        <f>SUM(C57:N57)</f>
        <v>0</v>
      </c>
    </row>
    <row r="58" spans="1:15" outlineLevel="2">
      <c r="A58" s="12" t="s">
        <v>85</v>
      </c>
      <c r="B58" s="12" t="s">
        <v>86</v>
      </c>
      <c r="C58" s="34"/>
      <c r="D58" s="34"/>
      <c r="E58" s="34"/>
      <c r="F58" s="34"/>
      <c r="G58" s="34"/>
      <c r="H58" s="26"/>
      <c r="I58" s="26"/>
      <c r="J58" s="26"/>
      <c r="K58" s="26"/>
      <c r="L58" s="26"/>
      <c r="M58" s="26"/>
      <c r="N58" s="26"/>
      <c r="O58" s="8">
        <f t="shared" si="13"/>
        <v>0</v>
      </c>
    </row>
    <row r="59" spans="1:15" outlineLevel="2">
      <c r="A59" s="12" t="s">
        <v>87</v>
      </c>
      <c r="B59" s="12" t="s">
        <v>88</v>
      </c>
      <c r="C59" s="34"/>
      <c r="D59" s="34"/>
      <c r="E59" s="34"/>
      <c r="F59" s="34"/>
      <c r="G59" s="34"/>
      <c r="H59" s="26"/>
      <c r="I59" s="26"/>
      <c r="J59" s="26"/>
      <c r="K59" s="26"/>
      <c r="L59" s="26"/>
      <c r="M59" s="26"/>
      <c r="N59" s="26"/>
      <c r="O59" s="8">
        <f t="shared" si="13"/>
        <v>0</v>
      </c>
    </row>
    <row r="60" spans="1:15" outlineLevel="1">
      <c r="A60" s="11" t="s">
        <v>89</v>
      </c>
      <c r="B60" s="11" t="s">
        <v>90</v>
      </c>
      <c r="C60" s="33"/>
      <c r="D60" s="33"/>
      <c r="E60" s="33"/>
      <c r="F60" s="33"/>
      <c r="G60" s="26"/>
      <c r="H60" s="26"/>
      <c r="I60" s="26"/>
      <c r="J60" s="26"/>
      <c r="K60" s="26"/>
      <c r="L60" s="26"/>
      <c r="M60" s="26"/>
      <c r="N60" s="26"/>
      <c r="O60" s="8">
        <f>SUM(C60:N60)</f>
        <v>0</v>
      </c>
    </row>
    <row r="61" spans="1:15" outlineLevel="1">
      <c r="A61" s="11" t="s">
        <v>91</v>
      </c>
      <c r="B61" s="11" t="s">
        <v>92</v>
      </c>
      <c r="C61" s="33"/>
      <c r="D61" s="33"/>
      <c r="E61" s="33"/>
      <c r="F61" s="33"/>
      <c r="G61" s="26"/>
      <c r="H61" s="26"/>
      <c r="I61" s="26"/>
      <c r="J61" s="26"/>
      <c r="K61" s="26"/>
      <c r="L61" s="26"/>
      <c r="M61" s="26"/>
      <c r="N61" s="26"/>
      <c r="O61" s="8">
        <f t="shared" si="13"/>
        <v>0</v>
      </c>
    </row>
    <row r="62" spans="1:15" outlineLevel="1">
      <c r="A62" s="11" t="s">
        <v>93</v>
      </c>
      <c r="B62" s="11" t="s">
        <v>94</v>
      </c>
      <c r="C62" s="33"/>
      <c r="D62" s="33"/>
      <c r="E62" s="33"/>
      <c r="F62" s="33"/>
      <c r="G62" s="26"/>
      <c r="H62" s="26"/>
      <c r="I62" s="26"/>
      <c r="J62" s="26"/>
      <c r="K62" s="26"/>
      <c r="L62" s="26"/>
      <c r="M62" s="26"/>
      <c r="N62" s="26"/>
      <c r="O62" s="8">
        <f t="shared" si="13"/>
        <v>0</v>
      </c>
    </row>
    <row r="63" spans="1:15" ht="18" outlineLevel="1" thickBot="1">
      <c r="A63" s="11" t="s">
        <v>95</v>
      </c>
      <c r="B63" s="11" t="s">
        <v>96</v>
      </c>
      <c r="C63" s="33"/>
      <c r="D63" s="33"/>
      <c r="E63" s="33"/>
      <c r="F63" s="33"/>
      <c r="G63" s="26"/>
      <c r="H63" s="26"/>
      <c r="I63" s="26"/>
      <c r="J63" s="26"/>
      <c r="K63" s="26"/>
      <c r="L63" s="26"/>
      <c r="M63" s="26"/>
      <c r="N63" s="26"/>
      <c r="O63" s="8">
        <f t="shared" si="13"/>
        <v>0</v>
      </c>
    </row>
    <row r="64" spans="1:15" ht="18" outlineLevel="1" thickBot="1">
      <c r="A64" s="14" t="s">
        <v>97</v>
      </c>
      <c r="B64" s="15"/>
      <c r="C64" s="31">
        <f t="shared" ref="C64:N64" si="18">C51+C39</f>
        <v>100000000</v>
      </c>
      <c r="D64" s="31">
        <f t="shared" si="18"/>
        <v>0</v>
      </c>
      <c r="E64" s="31">
        <f t="shared" si="18"/>
        <v>200000000</v>
      </c>
      <c r="F64" s="31">
        <f t="shared" si="18"/>
        <v>0</v>
      </c>
      <c r="G64" s="31">
        <f t="shared" si="18"/>
        <v>0</v>
      </c>
      <c r="H64" s="31">
        <f t="shared" si="18"/>
        <v>423000000</v>
      </c>
      <c r="I64" s="31">
        <f t="shared" si="18"/>
        <v>0</v>
      </c>
      <c r="J64" s="31">
        <f t="shared" si="18"/>
        <v>0</v>
      </c>
      <c r="K64" s="31">
        <f t="shared" si="18"/>
        <v>410000000</v>
      </c>
      <c r="L64" s="31">
        <f t="shared" si="18"/>
        <v>-1394470</v>
      </c>
      <c r="M64" s="31">
        <f t="shared" si="18"/>
        <v>500000000</v>
      </c>
      <c r="N64" s="30">
        <f t="shared" si="18"/>
        <v>-10231350</v>
      </c>
      <c r="O64" s="16">
        <f>O51+O39</f>
        <v>1621374180</v>
      </c>
    </row>
    <row r="65" spans="1:15" ht="18" outlineLevel="1" thickBot="1">
      <c r="A65" s="14" t="s">
        <v>98</v>
      </c>
      <c r="B65" s="15"/>
      <c r="C65" s="41">
        <f t="shared" ref="C65:N65" si="19">C64+C37+C20</f>
        <v>100000000</v>
      </c>
      <c r="D65" s="41">
        <f t="shared" si="19"/>
        <v>-5082500</v>
      </c>
      <c r="E65" s="41">
        <f t="shared" si="19"/>
        <v>52218000</v>
      </c>
      <c r="F65" s="41">
        <f t="shared" si="19"/>
        <v>-5082000</v>
      </c>
      <c r="G65" s="41">
        <f t="shared" si="19"/>
        <v>-8030000</v>
      </c>
      <c r="H65" s="41">
        <f t="shared" si="19"/>
        <v>148572098</v>
      </c>
      <c r="I65" s="41">
        <f t="shared" si="19"/>
        <v>-52080220</v>
      </c>
      <c r="J65" s="31">
        <f t="shared" si="19"/>
        <v>-45280978</v>
      </c>
      <c r="K65" s="31">
        <f t="shared" si="19"/>
        <v>-46903995</v>
      </c>
      <c r="L65" s="31">
        <f t="shared" si="19"/>
        <v>-94707224</v>
      </c>
      <c r="M65" s="31">
        <f t="shared" si="19"/>
        <v>401415794</v>
      </c>
      <c r="N65" s="30">
        <f t="shared" si="19"/>
        <v>-169623778</v>
      </c>
      <c r="O65" s="16">
        <f>SUM(C65:N65)</f>
        <v>275415197</v>
      </c>
    </row>
    <row r="66" spans="1:15" outlineLevel="1">
      <c r="A66" s="11" t="s">
        <v>99</v>
      </c>
      <c r="B66" s="11" t="s">
        <v>100</v>
      </c>
      <c r="C66" s="34"/>
      <c r="D66" s="34"/>
      <c r="E66" s="34"/>
      <c r="F66" s="34"/>
      <c r="G66" s="34"/>
      <c r="H66" s="26"/>
      <c r="I66" s="26"/>
      <c r="J66" s="26"/>
      <c r="K66" s="26"/>
      <c r="L66" s="26"/>
      <c r="M66" s="26"/>
      <c r="N66" s="26"/>
      <c r="O66" s="8"/>
    </row>
    <row r="67" spans="1:15" outlineLevel="1">
      <c r="A67" s="11" t="s">
        <v>101</v>
      </c>
      <c r="B67" s="11" t="s">
        <v>102</v>
      </c>
      <c r="C67" s="34"/>
      <c r="D67" s="26">
        <f t="shared" ref="D67:N67" si="20">C68</f>
        <v>100000000</v>
      </c>
      <c r="E67" s="26">
        <f t="shared" si="20"/>
        <v>94917500</v>
      </c>
      <c r="F67" s="26">
        <f t="shared" si="20"/>
        <v>147135500</v>
      </c>
      <c r="G67" s="26">
        <f t="shared" si="20"/>
        <v>142053500</v>
      </c>
      <c r="H67" s="26">
        <f t="shared" si="20"/>
        <v>134023500</v>
      </c>
      <c r="I67" s="26">
        <f t="shared" si="20"/>
        <v>282595598</v>
      </c>
      <c r="J67" s="26">
        <f t="shared" si="20"/>
        <v>230515378</v>
      </c>
      <c r="K67" s="26">
        <f t="shared" si="20"/>
        <v>185234400</v>
      </c>
      <c r="L67" s="26">
        <f t="shared" si="20"/>
        <v>138330405</v>
      </c>
      <c r="M67" s="26">
        <f t="shared" si="20"/>
        <v>43623181</v>
      </c>
      <c r="N67" s="26">
        <f t="shared" si="20"/>
        <v>445038975</v>
      </c>
      <c r="O67" s="8">
        <f>C67</f>
        <v>0</v>
      </c>
    </row>
    <row r="68" spans="1:15" ht="18" outlineLevel="1" thickBot="1">
      <c r="A68" s="11" t="s">
        <v>103</v>
      </c>
      <c r="B68" s="11" t="s">
        <v>104</v>
      </c>
      <c r="C68" s="36">
        <f t="shared" ref="C68:N68" si="21">C65+C66+C67</f>
        <v>100000000</v>
      </c>
      <c r="D68" s="36">
        <f t="shared" si="21"/>
        <v>94917500</v>
      </c>
      <c r="E68" s="36">
        <f t="shared" si="21"/>
        <v>147135500</v>
      </c>
      <c r="F68" s="36">
        <f t="shared" si="21"/>
        <v>142053500</v>
      </c>
      <c r="G68" s="36">
        <f t="shared" si="21"/>
        <v>134023500</v>
      </c>
      <c r="H68" s="36">
        <f t="shared" si="21"/>
        <v>282595598</v>
      </c>
      <c r="I68" s="36">
        <f t="shared" si="21"/>
        <v>230515378</v>
      </c>
      <c r="J68" s="36">
        <f t="shared" si="21"/>
        <v>185234400</v>
      </c>
      <c r="K68" s="36">
        <f t="shared" si="21"/>
        <v>138330405</v>
      </c>
      <c r="L68" s="36">
        <f t="shared" si="21"/>
        <v>43623181</v>
      </c>
      <c r="M68" s="36">
        <f t="shared" si="21"/>
        <v>445038975</v>
      </c>
      <c r="N68" s="36">
        <f t="shared" si="21"/>
        <v>275415197</v>
      </c>
      <c r="O68" s="8">
        <f>N68</f>
        <v>275415197</v>
      </c>
    </row>
    <row r="69" spans="1:15" ht="18" thickBot="1">
      <c r="A69" s="14" t="s">
        <v>105</v>
      </c>
      <c r="B69" s="14" t="s">
        <v>131</v>
      </c>
    </row>
    <row r="70" spans="1:15" ht="18" thickBot="1">
      <c r="A70" s="14" t="s">
        <v>106</v>
      </c>
      <c r="B70" s="14" t="s">
        <v>132</v>
      </c>
      <c r="L70" s="19"/>
      <c r="M70" s="19"/>
      <c r="N70" s="19"/>
    </row>
    <row r="74" spans="1:15">
      <c r="D74" s="42"/>
    </row>
  </sheetData>
  <mergeCells count="4">
    <mergeCell ref="R2:T7"/>
    <mergeCell ref="R9:T15"/>
    <mergeCell ref="R18:T22"/>
    <mergeCell ref="R24:T31"/>
  </mergeCells>
  <phoneticPr fontId="24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264A-DBDD-4529-8AD0-12A90641AEB9}">
  <dimension ref="B1:O21"/>
  <sheetViews>
    <sheetView workbookViewId="0">
      <selection activeCell="D11" sqref="D11"/>
    </sheetView>
  </sheetViews>
  <sheetFormatPr defaultRowHeight="17.399999999999999"/>
  <cols>
    <col min="2" max="2" width="44.59765625" bestFit="1" customWidth="1"/>
    <col min="4" max="4" width="10.59765625" bestFit="1" customWidth="1"/>
    <col min="5" max="5" width="11.8984375" bestFit="1" customWidth="1"/>
    <col min="6" max="7" width="10.59765625" bestFit="1" customWidth="1"/>
    <col min="8" max="8" width="13.09765625" bestFit="1" customWidth="1"/>
    <col min="9" max="12" width="11.8984375" bestFit="1" customWidth="1"/>
    <col min="13" max="13" width="10.3984375" bestFit="1" customWidth="1"/>
    <col min="14" max="14" width="11.8984375" bestFit="1" customWidth="1"/>
  </cols>
  <sheetData>
    <row r="1" spans="2:15">
      <c r="B1" t="s">
        <v>134</v>
      </c>
    </row>
    <row r="2" spans="2:15">
      <c r="B2" s="43" t="s">
        <v>133</v>
      </c>
    </row>
    <row r="3" spans="2:15">
      <c r="B3" s="44" t="s">
        <v>135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143</v>
      </c>
      <c r="K3" s="45" t="s">
        <v>144</v>
      </c>
      <c r="L3" s="45" t="s">
        <v>145</v>
      </c>
      <c r="M3" s="45" t="s">
        <v>146</v>
      </c>
      <c r="N3" s="45" t="s">
        <v>147</v>
      </c>
    </row>
    <row r="4" spans="2:15">
      <c r="B4" s="46" t="s">
        <v>136</v>
      </c>
      <c r="C4" s="47"/>
      <c r="D4" s="47">
        <v>5082500</v>
      </c>
      <c r="E4" s="47">
        <v>5082000</v>
      </c>
      <c r="F4" s="47">
        <v>5082000</v>
      </c>
      <c r="G4" s="47"/>
      <c r="H4" s="47">
        <v>0</v>
      </c>
      <c r="I4" s="47"/>
      <c r="J4" s="47"/>
      <c r="K4" s="47"/>
      <c r="L4" s="47"/>
      <c r="M4" s="47"/>
      <c r="N4" s="47"/>
    </row>
    <row r="5" spans="2:15">
      <c r="B5" s="48" t="s">
        <v>137</v>
      </c>
      <c r="C5" s="49"/>
      <c r="D5" s="49"/>
      <c r="E5" s="49">
        <v>19170000</v>
      </c>
      <c r="F5" s="49"/>
      <c r="G5" s="49"/>
      <c r="H5" s="49"/>
      <c r="I5" s="49"/>
      <c r="J5" s="49"/>
      <c r="K5" s="49"/>
      <c r="L5" s="49"/>
      <c r="M5" s="49"/>
      <c r="N5" s="49"/>
    </row>
    <row r="6" spans="2:15">
      <c r="B6" s="48" t="s">
        <v>138</v>
      </c>
      <c r="C6" s="49"/>
      <c r="D6" s="49"/>
      <c r="E6" s="49">
        <v>1430000</v>
      </c>
      <c r="F6" s="49"/>
      <c r="G6" s="49">
        <v>1430000</v>
      </c>
      <c r="H6" s="49">
        <v>1430000</v>
      </c>
      <c r="I6" s="49">
        <v>1430000</v>
      </c>
      <c r="J6" s="49">
        <v>1430000</v>
      </c>
      <c r="K6" s="49">
        <v>1430000</v>
      </c>
      <c r="L6" s="49">
        <v>1430000</v>
      </c>
      <c r="M6" s="49">
        <v>1430000</v>
      </c>
      <c r="N6" s="49">
        <f>1430000+40630</f>
        <v>1470630</v>
      </c>
    </row>
    <row r="7" spans="2:15">
      <c r="B7" s="48" t="s">
        <v>139</v>
      </c>
      <c r="C7" s="49"/>
      <c r="D7" s="49"/>
      <c r="E7" s="49"/>
      <c r="F7" s="49"/>
      <c r="H7" s="49">
        <v>111013400</v>
      </c>
      <c r="I7" s="49"/>
      <c r="J7" s="49"/>
      <c r="K7" s="49"/>
      <c r="L7" s="49"/>
      <c r="M7" s="49"/>
      <c r="N7" s="49"/>
    </row>
    <row r="8" spans="2:15">
      <c r="B8" s="48" t="s">
        <v>140</v>
      </c>
      <c r="C8" s="49"/>
      <c r="D8" s="49"/>
      <c r="E8" s="49"/>
      <c r="F8" s="49"/>
      <c r="G8" s="49"/>
      <c r="H8" s="49">
        <v>15002526</v>
      </c>
      <c r="I8" s="49">
        <v>15002526</v>
      </c>
      <c r="J8" s="49">
        <v>15002526</v>
      </c>
      <c r="K8" s="49">
        <v>15002526</v>
      </c>
      <c r="L8" s="49">
        <v>15002526</v>
      </c>
      <c r="M8" s="49"/>
      <c r="N8" s="49">
        <f>15002526*3</f>
        <v>45007578</v>
      </c>
    </row>
    <row r="9" spans="2:15">
      <c r="B9" s="50" t="s">
        <v>141</v>
      </c>
      <c r="C9" s="51"/>
      <c r="D9" s="51"/>
      <c r="E9" s="51"/>
      <c r="F9" s="51"/>
      <c r="G9" s="51"/>
      <c r="H9" s="52">
        <v>35340162</v>
      </c>
      <c r="I9" s="52"/>
      <c r="J9" s="52"/>
      <c r="K9" s="52"/>
      <c r="L9" s="52"/>
      <c r="M9" s="52"/>
      <c r="N9" s="52"/>
    </row>
    <row r="10" spans="2:15">
      <c r="B10" s="53" t="s">
        <v>142</v>
      </c>
      <c r="C10" s="51"/>
      <c r="D10" s="54">
        <f t="shared" ref="D10:H10" si="0">SUM(D4:D9)</f>
        <v>5082500</v>
      </c>
      <c r="E10" s="54">
        <f t="shared" si="0"/>
        <v>25682000</v>
      </c>
      <c r="F10" s="54">
        <f t="shared" si="0"/>
        <v>5082000</v>
      </c>
      <c r="G10" s="54">
        <f t="shared" si="0"/>
        <v>1430000</v>
      </c>
      <c r="H10" s="54">
        <f t="shared" si="0"/>
        <v>162786088</v>
      </c>
      <c r="I10" s="54">
        <f t="shared" ref="I10:N10" si="1">SUM(I4:I9)</f>
        <v>16432526</v>
      </c>
      <c r="J10" s="54">
        <f t="shared" si="1"/>
        <v>16432526</v>
      </c>
      <c r="K10" s="54">
        <f t="shared" si="1"/>
        <v>16432526</v>
      </c>
      <c r="L10" s="54">
        <f t="shared" si="1"/>
        <v>16432526</v>
      </c>
      <c r="M10" s="54">
        <f t="shared" si="1"/>
        <v>1430000</v>
      </c>
      <c r="N10" s="54">
        <f t="shared" si="1"/>
        <v>46478208</v>
      </c>
      <c r="O10" s="49"/>
    </row>
    <row r="11" spans="2:15">
      <c r="D11" t="b">
        <f>-D10='CFS Template_2026'!D7</f>
        <v>0</v>
      </c>
      <c r="E11" t="b">
        <f>-E10='CFS Template_2026'!E7</f>
        <v>0</v>
      </c>
      <c r="F11" t="b">
        <f>-F10='CFS Template_2026'!F7</f>
        <v>0</v>
      </c>
      <c r="G11" t="b">
        <f>-G10='CFS Template_2026'!G7</f>
        <v>0</v>
      </c>
      <c r="H11" t="b">
        <f>-H10='CFS Template_2026'!H7</f>
        <v>0</v>
      </c>
      <c r="I11" t="b">
        <f>-I10='CFS Template_2026'!I7</f>
        <v>0</v>
      </c>
      <c r="J11" t="b">
        <f>-J10='CFS Template_2026'!J7</f>
        <v>0</v>
      </c>
      <c r="K11" t="b">
        <f>-K10='CFS Template_2026'!K7</f>
        <v>0</v>
      </c>
      <c r="L11" t="b">
        <f>-L10='CFS Template_2026'!L7</f>
        <v>0</v>
      </c>
      <c r="M11" t="b">
        <f>M10=-'CFS Template_2026'!M7</f>
        <v>0</v>
      </c>
      <c r="N11" t="b">
        <f>N10=-'CFS Template_2026'!N7</f>
        <v>0</v>
      </c>
    </row>
    <row r="15" spans="2:15">
      <c r="H15" s="49"/>
    </row>
    <row r="16" spans="2:15">
      <c r="H16" s="49"/>
    </row>
    <row r="17" spans="8:8">
      <c r="H17" s="49"/>
    </row>
    <row r="18" spans="8:8">
      <c r="H18" s="49"/>
    </row>
    <row r="19" spans="8:8">
      <c r="H19" s="49"/>
    </row>
    <row r="20" spans="8:8">
      <c r="H20" s="49"/>
    </row>
    <row r="21" spans="8:8">
      <c r="H21" s="49"/>
    </row>
  </sheetData>
  <phoneticPr fontId="24" type="noConversion"/>
  <pageMargins left="0.7" right="0.7" top="0.75" bottom="0.75" header="0.3" footer="0.3"/>
  <pageSetup paperSize="9" orientation="portrait" horizontalDpi="30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0955E-AD27-4B4D-B351-AF080D3F5EE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CFS Template_2026</vt:lpstr>
      <vt:lpstr>2월</vt:lpstr>
      <vt:lpstr>Leases,Rents</vt:lpstr>
      <vt:lpstr>CFS Template_2022</vt:lpstr>
      <vt:lpstr>Leases,Rents_2022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CARVAJAL CONTRERAS</dc:creator>
  <cp:lastModifiedBy>Migyeong Jwa</cp:lastModifiedBy>
  <dcterms:created xsi:type="dcterms:W3CDTF">2021-05-19T16:39:35Z</dcterms:created>
  <dcterms:modified xsi:type="dcterms:W3CDTF">2026-03-03T06:56:43Z</dcterms:modified>
</cp:coreProperties>
</file>