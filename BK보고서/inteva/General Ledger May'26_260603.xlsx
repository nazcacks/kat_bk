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ACR\Inteva\1 - Bookkeeping Services\Inteva Nov.25~Oct.26\2026.05\3. Final\"/>
    </mc:Choice>
  </mc:AlternateContent>
  <xr:revisionPtr revIDLastSave="0" documentId="8_{3F1BD51F-1C24-4A50-8A07-731BB46B99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3" r:id="rId1"/>
  </sheets>
  <definedNames>
    <definedName name="_xlnm._FilterDatabase" localSheetId="0" hidden="1">Sheet1!$A$4:$I$259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2" i="3" l="1"/>
  <c r="H6" i="3"/>
  <c r="H7" i="3"/>
  <c r="H8" i="3"/>
  <c r="H9" i="3"/>
  <c r="H41" i="3"/>
  <c r="H42" i="3"/>
  <c r="H10" i="3"/>
  <c r="H11" i="3"/>
  <c r="H12" i="3"/>
  <c r="H13" i="3"/>
  <c r="H14" i="3"/>
  <c r="H15" i="3"/>
  <c r="H16" i="3"/>
  <c r="H17" i="3"/>
  <c r="H43" i="3"/>
  <c r="H44" i="3"/>
  <c r="H45" i="3"/>
  <c r="H46" i="3"/>
  <c r="H58" i="3"/>
  <c r="H59" i="3"/>
  <c r="H60" i="3"/>
  <c r="H71" i="3"/>
  <c r="H72" i="3"/>
  <c r="H85" i="3"/>
  <c r="H86" i="3"/>
  <c r="H97" i="3"/>
  <c r="H98" i="3"/>
  <c r="H112" i="3"/>
  <c r="H113" i="3"/>
  <c r="H114" i="3"/>
  <c r="H119" i="3"/>
  <c r="H120" i="3"/>
  <c r="H128" i="3"/>
  <c r="H129" i="3"/>
  <c r="H141" i="3"/>
  <c r="H142" i="3"/>
  <c r="H151" i="3"/>
  <c r="H152" i="3"/>
  <c r="H162" i="3"/>
  <c r="H163" i="3"/>
  <c r="H164" i="3"/>
  <c r="H172" i="3"/>
  <c r="H173" i="3"/>
  <c r="H18" i="3"/>
  <c r="H19" i="3"/>
  <c r="H20" i="3"/>
  <c r="H21" i="3"/>
  <c r="H22" i="3"/>
  <c r="H23" i="3"/>
  <c r="H174" i="3"/>
  <c r="H175" i="3"/>
  <c r="H187" i="3"/>
  <c r="H188" i="3"/>
  <c r="H24" i="3"/>
  <c r="H25" i="3"/>
  <c r="H47" i="3"/>
  <c r="H48" i="3"/>
  <c r="H49" i="3"/>
  <c r="H61" i="3"/>
  <c r="H62" i="3"/>
  <c r="H63" i="3"/>
  <c r="H73" i="3"/>
  <c r="H74" i="3"/>
  <c r="H75" i="3"/>
  <c r="H87" i="3"/>
  <c r="H88" i="3"/>
  <c r="H76" i="3"/>
  <c r="H77" i="3"/>
  <c r="H26" i="3"/>
  <c r="H27" i="3"/>
  <c r="H28" i="3"/>
  <c r="H29" i="3"/>
  <c r="H30" i="3"/>
  <c r="H31" i="3"/>
  <c r="H32" i="3"/>
  <c r="H50" i="3"/>
  <c r="H51" i="3"/>
  <c r="H52" i="3"/>
  <c r="H64" i="3"/>
  <c r="H65" i="3"/>
  <c r="H66" i="3"/>
  <c r="H78" i="3"/>
  <c r="H79" i="3"/>
  <c r="H80" i="3"/>
  <c r="H89" i="3"/>
  <c r="H90" i="3"/>
  <c r="H91" i="3"/>
  <c r="H92" i="3"/>
  <c r="H99" i="3"/>
  <c r="H100" i="3"/>
  <c r="H101" i="3"/>
  <c r="H102" i="3"/>
  <c r="H103" i="3"/>
  <c r="H104" i="3"/>
  <c r="H105" i="3"/>
  <c r="H106" i="3"/>
  <c r="H107" i="3"/>
  <c r="H121" i="3"/>
  <c r="H122" i="3"/>
  <c r="H123" i="3"/>
  <c r="H130" i="3"/>
  <c r="H131" i="3"/>
  <c r="H132" i="3"/>
  <c r="H133" i="3"/>
  <c r="H134" i="3"/>
  <c r="H135" i="3"/>
  <c r="H136" i="3"/>
  <c r="H137" i="3"/>
  <c r="H143" i="3"/>
  <c r="H144" i="3"/>
  <c r="H145" i="3"/>
  <c r="H146" i="3"/>
  <c r="H153" i="3"/>
  <c r="H154" i="3"/>
  <c r="H155" i="3"/>
  <c r="H156" i="3"/>
  <c r="H157" i="3"/>
  <c r="H165" i="3"/>
  <c r="H166" i="3"/>
  <c r="H167" i="3"/>
  <c r="H176" i="3"/>
  <c r="H177" i="3"/>
  <c r="H178" i="3"/>
  <c r="H179" i="3"/>
  <c r="H180" i="3"/>
  <c r="H181" i="3"/>
  <c r="H182" i="3"/>
  <c r="H183" i="3"/>
  <c r="H189" i="3"/>
  <c r="H190" i="3"/>
  <c r="H194" i="3"/>
  <c r="H195" i="3"/>
  <c r="H196" i="3"/>
  <c r="H197" i="3"/>
  <c r="H198" i="3"/>
  <c r="H199" i="3"/>
  <c r="H203" i="3"/>
  <c r="H204" i="3"/>
  <c r="H205" i="3"/>
  <c r="H210" i="3"/>
  <c r="H211" i="3"/>
  <c r="H215" i="3"/>
  <c r="H216" i="3"/>
  <c r="H217" i="3"/>
  <c r="H221" i="3"/>
  <c r="H222" i="3"/>
  <c r="H223" i="3"/>
  <c r="H227" i="3"/>
  <c r="H228" i="3"/>
  <c r="H229" i="3"/>
  <c r="H233" i="3"/>
  <c r="H234" i="3"/>
  <c r="H238" i="3"/>
  <c r="H239" i="3"/>
  <c r="H33" i="3"/>
  <c r="H34" i="3"/>
  <c r="H35" i="3"/>
  <c r="H36" i="3"/>
  <c r="H37" i="3"/>
  <c r="H53" i="3"/>
  <c r="H54" i="3"/>
  <c r="H38" i="3"/>
  <c r="H39" i="3"/>
  <c r="H55" i="3"/>
  <c r="H56" i="3"/>
  <c r="H67" i="3"/>
  <c r="H68" i="3"/>
  <c r="H69" i="3"/>
  <c r="H81" i="3"/>
  <c r="H82" i="3"/>
  <c r="H83" i="3"/>
  <c r="H93" i="3"/>
  <c r="H94" i="3"/>
  <c r="H95" i="3"/>
  <c r="H108" i="3"/>
  <c r="H109" i="3"/>
  <c r="H110" i="3"/>
  <c r="H115" i="3"/>
  <c r="H116" i="3"/>
  <c r="H117" i="3"/>
  <c r="H124" i="3"/>
  <c r="H125" i="3"/>
  <c r="H126" i="3"/>
  <c r="H138" i="3"/>
  <c r="H139" i="3"/>
  <c r="H147" i="3"/>
  <c r="H148" i="3"/>
  <c r="H149" i="3"/>
  <c r="H158" i="3"/>
  <c r="H159" i="3"/>
  <c r="H160" i="3"/>
  <c r="H168" i="3"/>
  <c r="H169" i="3"/>
  <c r="H170" i="3"/>
  <c r="H184" i="3"/>
  <c r="H185" i="3"/>
  <c r="H191" i="3"/>
  <c r="H192" i="3"/>
  <c r="H200" i="3"/>
  <c r="H201" i="3"/>
  <c r="H206" i="3"/>
  <c r="H207" i="3"/>
  <c r="H208" i="3"/>
  <c r="H212" i="3"/>
  <c r="H213" i="3"/>
  <c r="H218" i="3"/>
  <c r="H219" i="3"/>
  <c r="H224" i="3"/>
  <c r="H225" i="3"/>
  <c r="H230" i="3"/>
  <c r="H231" i="3"/>
  <c r="H235" i="3"/>
  <c r="H236" i="3"/>
  <c r="H240" i="3"/>
  <c r="H241" i="3"/>
  <c r="H243" i="3"/>
  <c r="H244" i="3"/>
  <c r="H246" i="3"/>
  <c r="H247" i="3"/>
  <c r="H249" i="3"/>
  <c r="H250" i="3"/>
  <c r="H252" i="3"/>
  <c r="H253" i="3"/>
  <c r="H255" i="3"/>
  <c r="H256" i="3"/>
  <c r="H258" i="3"/>
  <c r="H259" i="3"/>
  <c r="H5" i="3" l="1"/>
  <c r="G262" i="3" l="1"/>
  <c r="G263" i="3" l="1"/>
</calcChain>
</file>

<file path=xl/sharedStrings.xml><?xml version="1.0" encoding="utf-8"?>
<sst xmlns="http://schemas.openxmlformats.org/spreadsheetml/2006/main" count="925" uniqueCount="243">
  <si>
    <t>Journal  Voucher</t>
  </si>
  <si>
    <t>Company : Inteva Korea Ltd.</t>
  </si>
  <si>
    <t>(in KRW)</t>
    <phoneticPr fontId="1" type="noConversion"/>
  </si>
  <si>
    <t>DATE</t>
  </si>
  <si>
    <t>VOUCHER NO.</t>
  </si>
  <si>
    <t>ACCOUNT CODE</t>
  </si>
  <si>
    <t>ACCOUNT NAME</t>
  </si>
  <si>
    <t>DESCRIPTION</t>
  </si>
  <si>
    <t>DEBIT</t>
  </si>
  <si>
    <t>CREDIT</t>
  </si>
  <si>
    <t>BALANCE</t>
  </si>
  <si>
    <t>CUSTOMER&amp;BANK</t>
  </si>
  <si>
    <t>000116-대동하이렉스주식회사</t>
  </si>
  <si>
    <t>Fx difference</t>
  </si>
  <si>
    <t>Bank charges_KRW 10,000</t>
  </si>
  <si>
    <t>000101-Inteva</t>
  </si>
  <si>
    <t>Collection_KJSG sales</t>
  </si>
  <si>
    <t>000115-(주)광진상공</t>
  </si>
  <si>
    <t>Hana Fax monthly fee</t>
  </si>
  <si>
    <t>000141-포스텔링크(주)</t>
  </si>
  <si>
    <t>000102-(주)케이디에스</t>
  </si>
  <si>
    <t>Expense claimed by Dongsoo Park</t>
  </si>
  <si>
    <t>Expense claimed by Weon Suk Ryu</t>
  </si>
  <si>
    <t>Expense claimed by Eunhyun Kim</t>
  </si>
  <si>
    <t>Expense claimed by Seyoung Chun</t>
  </si>
  <si>
    <t>Expense claimed by HS Park</t>
  </si>
  <si>
    <t>Expense claimed by Youngsoo Kwak</t>
  </si>
  <si>
    <t>Collection_DDHL sales</t>
  </si>
  <si>
    <t>Expense claimed by Sanghoon Park</t>
  </si>
  <si>
    <t>Expense claimed by Jeonghee Park</t>
  </si>
  <si>
    <t>000104-롯데렌탈(주)</t>
  </si>
  <si>
    <t>000111-주식회사 케이티</t>
  </si>
  <si>
    <t>000109-인성회계법인(본점)</t>
  </si>
  <si>
    <t>000110-한영회계법인</t>
  </si>
  <si>
    <t>000121-평화정공(주)</t>
  </si>
  <si>
    <t>000133-(주)광진상공</t>
  </si>
  <si>
    <t>Expense claimed by Kwang Hyun Jeong</t>
  </si>
  <si>
    <t>Team dinner</t>
  </si>
  <si>
    <t>Gyungsan coffee</t>
  </si>
  <si>
    <t>10812</t>
  </si>
  <si>
    <t>AR-other receivables</t>
  </si>
  <si>
    <t>40101</t>
  </si>
  <si>
    <t>Sales - ExternalMot</t>
  </si>
  <si>
    <t>81106</t>
  </si>
  <si>
    <t>Other employee benef(판)</t>
  </si>
  <si>
    <t>10100</t>
  </si>
  <si>
    <t>Cash on hand</t>
  </si>
  <si>
    <t>13300</t>
  </si>
  <si>
    <t>Prepaid insurance-ge</t>
  </si>
  <si>
    <t>82100</t>
  </si>
  <si>
    <t>Group life insurance(판)</t>
  </si>
  <si>
    <t>27500</t>
  </si>
  <si>
    <t>payroll inc tax-wh</t>
  </si>
  <si>
    <t>27600</t>
  </si>
  <si>
    <t>payroll res tax-wh</t>
  </si>
  <si>
    <t>10300</t>
  </si>
  <si>
    <t>Cash bank KEB KRW</t>
  </si>
  <si>
    <t>25101</t>
  </si>
  <si>
    <t>AP-KDS</t>
  </si>
  <si>
    <t>92200</t>
  </si>
  <si>
    <t>Miscellanceous incom</t>
  </si>
  <si>
    <t>81108</t>
  </si>
  <si>
    <t>National medical Ins(판)</t>
  </si>
  <si>
    <t>27800</t>
  </si>
  <si>
    <t>medical insurance-wh</t>
  </si>
  <si>
    <t>81107</t>
  </si>
  <si>
    <t>National pension(판)</t>
  </si>
  <si>
    <t>27700</t>
  </si>
  <si>
    <t>national pension-wh</t>
  </si>
  <si>
    <t>84800</t>
  </si>
  <si>
    <t>Other miscellaneous(판)</t>
  </si>
  <si>
    <t>82101</t>
  </si>
  <si>
    <t>Comp's GL,Med,Sick,A(판)</t>
  </si>
  <si>
    <t>83107</t>
  </si>
  <si>
    <t>Bank charges(판)</t>
  </si>
  <si>
    <t>12200</t>
  </si>
  <si>
    <t>VAT receivable</t>
  </si>
  <si>
    <t>11000</t>
  </si>
  <si>
    <t>N/R - KJSG</t>
  </si>
  <si>
    <t>82601</t>
  </si>
  <si>
    <t>Books and subscripti(판)</t>
  </si>
  <si>
    <t>10810</t>
  </si>
  <si>
    <t>A/R - KDS</t>
  </si>
  <si>
    <t>40100</t>
  </si>
  <si>
    <t xml:space="preserve">Sales - interunit - </t>
  </si>
  <si>
    <t xml:space="preserve">Sales Service Agreement </t>
  </si>
  <si>
    <t>81902</t>
  </si>
  <si>
    <t>Rent- company vehicl(판)</t>
  </si>
  <si>
    <t>80200</t>
  </si>
  <si>
    <t>Salaries for employe(판)</t>
  </si>
  <si>
    <t>81402</t>
  </si>
  <si>
    <t>Mobilephone - employ(판)</t>
  </si>
  <si>
    <t>81501</t>
  </si>
  <si>
    <t>Gas and fuel(판)</t>
  </si>
  <si>
    <t>81117</t>
  </si>
  <si>
    <t>Meal expense involvi(판)</t>
  </si>
  <si>
    <t>82900</t>
  </si>
  <si>
    <t>Stationary &amp; office (판)</t>
  </si>
  <si>
    <t>81204</t>
  </si>
  <si>
    <t>Travel meals- food,b(판)</t>
  </si>
  <si>
    <t>81205</t>
  </si>
  <si>
    <t>Travel-local &amp; inter(판)</t>
  </si>
  <si>
    <t>81206</t>
  </si>
  <si>
    <t>Travel-personal car (판)</t>
  </si>
  <si>
    <t>81207</t>
  </si>
  <si>
    <t>Travel-overseas -lod(판)</t>
  </si>
  <si>
    <t>81303</t>
  </si>
  <si>
    <t>Entertainment card &gt;(판)</t>
  </si>
  <si>
    <t>81901</t>
  </si>
  <si>
    <t>Rent- office rental (판)</t>
  </si>
  <si>
    <t>83100</t>
  </si>
  <si>
    <t>Professional service(판)</t>
  </si>
  <si>
    <t>81104</t>
  </si>
  <si>
    <t>Emp benefit-lunch al(판)</t>
  </si>
  <si>
    <t>81400</t>
  </si>
  <si>
    <t>Intl call- phone,mob(판)</t>
  </si>
  <si>
    <t>93500</t>
  </si>
  <si>
    <t>Foreign exchange gai</t>
  </si>
  <si>
    <t>45101</t>
  </si>
  <si>
    <t>Cost of Goods Sold-M</t>
  </si>
  <si>
    <t>80300</t>
  </si>
  <si>
    <t>Incentive compensati(판)</t>
  </si>
  <si>
    <t>26201</t>
  </si>
  <si>
    <t>Accr Liability - Inc</t>
  </si>
  <si>
    <t>81800</t>
  </si>
  <si>
    <t>Depreciation(판)</t>
  </si>
  <si>
    <t>22400</t>
  </si>
  <si>
    <t>Acc.Dep Comp &amp; Data</t>
  </si>
  <si>
    <t>22000</t>
  </si>
  <si>
    <t>Acc.Dep Mac &amp; Equ</t>
  </si>
  <si>
    <t>10400</t>
  </si>
  <si>
    <t>Cash bank KEB USD</t>
  </si>
  <si>
    <t>28000</t>
  </si>
  <si>
    <t>Interunit rec/pay Am</t>
  </si>
  <si>
    <t>85400</t>
  </si>
  <si>
    <t>Operation Exp-Admin-(판)</t>
  </si>
  <si>
    <t>85800</t>
  </si>
  <si>
    <t>OpEx-THQ(판)</t>
  </si>
  <si>
    <t>28700</t>
  </si>
  <si>
    <t>interunit rec/payTHQ</t>
  </si>
  <si>
    <t>10805</t>
  </si>
  <si>
    <t>A/R - ZJ interunit</t>
  </si>
  <si>
    <t>28500</t>
  </si>
  <si>
    <t>interunit rec/payEs4</t>
  </si>
  <si>
    <t>10803</t>
  </si>
  <si>
    <t>A/R - Gadsden inter</t>
  </si>
  <si>
    <t>83101</t>
  </si>
  <si>
    <t>Legal fees(판)</t>
  </si>
  <si>
    <t xml:space="preserve">Korea Trade net service fee </t>
  </si>
  <si>
    <t>000107-(주)한국무역정보통신</t>
  </si>
  <si>
    <t>Office Expense</t>
  </si>
  <si>
    <t>81403</t>
  </si>
  <si>
    <t>Postage(판)</t>
  </si>
  <si>
    <t>Expense claimed by Hyejin Ryu</t>
  </si>
  <si>
    <t>82500</t>
  </si>
  <si>
    <t>Education and traini(판)</t>
  </si>
  <si>
    <t>Sales_DDHL_Daedong Hilex_434(2026.03.21) USD 222,430 @1,499.70</t>
  </si>
  <si>
    <t>Sales_DDHL_Daedong Hilex_435(2026.04.04) USD 232,930 @1,518.80</t>
  </si>
  <si>
    <t>( DATE : 2026.05.01 ~ 2026.05.31 )</t>
  </si>
  <si>
    <t>81100</t>
  </si>
  <si>
    <t>83002</t>
  </si>
  <si>
    <t>81208</t>
  </si>
  <si>
    <t>83701</t>
  </si>
  <si>
    <t>Emp benefit(판)</t>
  </si>
  <si>
    <t>Minor office equipme(판)</t>
  </si>
  <si>
    <t>Travel-overseas airp(판)</t>
  </si>
  <si>
    <t>Office management(판)</t>
  </si>
  <si>
    <t>A/R collection_Daedong Hilex_434</t>
  </si>
  <si>
    <t>Warranty_Daedong Hilex_DM-3199D(2026.03.24) USD -1,162.21 @1,509.60</t>
  </si>
  <si>
    <t>Office Coffee</t>
  </si>
  <si>
    <t>Office Snack</t>
  </si>
  <si>
    <t>National medical insurance Apr_RGM10</t>
  </si>
  <si>
    <t>National medical insurance Apr-wh</t>
  </si>
  <si>
    <t>National medical insurance Apr</t>
  </si>
  <si>
    <t>National Pension Apr_RGM10</t>
  </si>
  <si>
    <t>National Pension Apr-wh</t>
  </si>
  <si>
    <t>National Pension Apr_Refund for electronic filling</t>
  </si>
  <si>
    <t>National Pension Apr</t>
  </si>
  <si>
    <t>Unemployement Insurance Apr-wh</t>
  </si>
  <si>
    <t>Unemployement Insurance Apr</t>
  </si>
  <si>
    <t>Industrial Insurance Apr</t>
  </si>
  <si>
    <t>Monthly Bank Charges/fees May</t>
  </si>
  <si>
    <t>Payment_KDS_(2026.04.30)_DDHL US</t>
  </si>
  <si>
    <t>Payment_KDS_(2026.04.30)_PHJG</t>
  </si>
  <si>
    <t>Payment_KDS_(2026.04.30)_KJSG</t>
  </si>
  <si>
    <t>Tariff_KDS NX4a 433_(2026.04.03)_DDHL US</t>
  </si>
  <si>
    <t>Tariff_KDS NX4a 434_(2026.04.24)_DDHL US</t>
  </si>
  <si>
    <t>Payment_KDS_(2026.04.30)_DDHL</t>
  </si>
  <si>
    <t>Income tax for Apr 26 Payroll</t>
  </si>
  <si>
    <t>Residence tax for Apr 26 Payroll</t>
  </si>
  <si>
    <t>Income and Residence tax for Apr 26 Payroll</t>
  </si>
  <si>
    <t>Gift_HS Park</t>
  </si>
  <si>
    <t>A/R collection_Daedong Hilex_435</t>
  </si>
  <si>
    <t>Sales of May</t>
  </si>
  <si>
    <t>Sales of May (2026.04.30)</t>
  </si>
  <si>
    <t>Office Equipment (Electric fan)</t>
  </si>
  <si>
    <t>Lotte rental fee_May</t>
  </si>
  <si>
    <t>Salary for May</t>
  </si>
  <si>
    <t>Salary for May - Income tax WH</t>
  </si>
  <si>
    <t>Salary for May - Local income tax WH</t>
  </si>
  <si>
    <t>Salary for May - National Pension WH</t>
  </si>
  <si>
    <t>Salary for May - Medical/Medicare WH</t>
  </si>
  <si>
    <t>Salary for May - Unemployment WH</t>
  </si>
  <si>
    <t>Net Salary for May</t>
  </si>
  <si>
    <t>Plaque of Appreciation</t>
  </si>
  <si>
    <t>Flower Expense – Child of Mr. Wonseok Ryu</t>
  </si>
  <si>
    <t>Congratulatory Money – Child of Mr. Wonseok Ryu</t>
  </si>
  <si>
    <t>Congratulatory Money –mother-in-law's 70th birthday(Park SH)</t>
  </si>
  <si>
    <t>Accounting Service_May</t>
  </si>
  <si>
    <t>Kyungsan office rental fee_May</t>
  </si>
  <si>
    <t>Accounting Service (Banking Service for OPE)_May</t>
  </si>
  <si>
    <t>Custom Service</t>
  </si>
  <si>
    <t xml:space="preserve"> Commercial General Liability (Incl. PL) (extended to 2027.06.01)</t>
  </si>
  <si>
    <t>DHL Customs Fee</t>
  </si>
  <si>
    <t>Daeku CSC Office Telecommunication Cost_May</t>
  </si>
  <si>
    <t>Collection_PHJG sales</t>
  </si>
  <si>
    <t>Sales_DDHL_Daedong Hilex_436(2026.04.20) USD 232,930 @1,480.00</t>
  </si>
  <si>
    <t>Sales_DDHL_Daedong Hilex_437(2026.04.21) USD 232,930 @1,475.60</t>
  </si>
  <si>
    <t>Sales_DDHL (2026.04.30)</t>
  </si>
  <si>
    <t>Sales_KJSG (2026.04.30)</t>
  </si>
  <si>
    <t>Sales_PHJG (2026.04.30)</t>
  </si>
  <si>
    <t>Tariff related to NX4a Sales (2026.04.03)</t>
  </si>
  <si>
    <t>Tariff related to NX4a Sales (2026.04.24)</t>
  </si>
  <si>
    <t>Cost related to DDHL Sales (2026.04.30)</t>
  </si>
  <si>
    <t>Cost related to PHJG Sales (2026.04.30)</t>
  </si>
  <si>
    <t>Cost related to KJSG Sales (2026.04.30)</t>
  </si>
  <si>
    <t>Accr. Bonus for May_RGM10</t>
  </si>
  <si>
    <t>Group life insurance for May</t>
  </si>
  <si>
    <t>Depreciation for May</t>
  </si>
  <si>
    <t>FX Adjustment for May - KEB HANA $ 127.53 * 1,505.80</t>
  </si>
  <si>
    <t>Royalty AMS_Charges from AMS for May 26 EUR 34,836.10 @ 1,738.28</t>
  </si>
  <si>
    <t>GSA Income_Charges to AMS_for May 26 EUR -22,707.64 @ 1,738.28</t>
  </si>
  <si>
    <t>Engineering Exp_Charges from AMS for May 26 EUR 14,452.13 @ 1,738.28</t>
  </si>
  <si>
    <t>FX Adjustment for May - AMS (AR_EUR)</t>
  </si>
  <si>
    <t>FX Adjustment for May - AMS (AP_EUR)</t>
  </si>
  <si>
    <t xml:space="preserve">FX Adjustment for May - AMS (body system AR) </t>
  </si>
  <si>
    <t>FX Adjustment for May - THQ</t>
  </si>
  <si>
    <t xml:space="preserve">FX Adjustment for May - China ZJ </t>
  </si>
  <si>
    <t>FX Adjustment for May - Esson FDC 423</t>
  </si>
  <si>
    <t>FX Adjustment for May - Gasden</t>
  </si>
  <si>
    <t>000137-관세법인영진</t>
  </si>
  <si>
    <t>000134-피에이치에이주식회사</t>
  </si>
  <si>
    <t>IT Exp_Charges from THQ May 26 USD 4,182.22 @ 1,488.10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</si>
</sst>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yyyymmdd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8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3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0" fillId="2" borderId="3" xfId="0" applyFill="1" applyBorder="1">
      <alignment vertical="center"/>
    </xf>
    <xf numFmtId="0" fontId="4" fillId="0" borderId="2" xfId="2" applyNumberFormat="1" applyFont="1" applyFill="1" applyBorder="1" applyAlignment="1">
      <alignment horizontal="left"/>
    </xf>
    <xf numFmtId="41" fontId="4" fillId="0" borderId="2" xfId="2" applyFont="1" applyFill="1" applyBorder="1" applyAlignment="1"/>
    <xf numFmtId="0" fontId="3" fillId="3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2" fillId="2" borderId="3" xfId="1" applyNumberFormat="1" applyFont="1" applyFill="1" applyBorder="1">
      <alignment vertical="center"/>
    </xf>
    <xf numFmtId="176" fontId="3" fillId="3" borderId="2" xfId="1" applyNumberFormat="1" applyFont="1" applyFill="1" applyBorder="1" applyAlignment="1">
      <alignment horizontal="center" vertical="center"/>
    </xf>
    <xf numFmtId="176" fontId="4" fillId="0" borderId="2" xfId="1" applyNumberFormat="1" applyFont="1" applyFill="1" applyBorder="1" applyAlignment="1"/>
    <xf numFmtId="176" fontId="2" fillId="4" borderId="0" xfId="1" applyNumberFormat="1" applyFont="1" applyFill="1" applyBorder="1">
      <alignment vertical="center"/>
    </xf>
    <xf numFmtId="176" fontId="2" fillId="2" borderId="0" xfId="1" applyNumberFormat="1" applyFont="1" applyFill="1" applyBorder="1">
      <alignment vertical="center"/>
    </xf>
    <xf numFmtId="0" fontId="4" fillId="0" borderId="0" xfId="2" applyNumberFormat="1" applyFont="1" applyFill="1" applyBorder="1" applyAlignment="1">
      <alignment horizontal="left"/>
    </xf>
    <xf numFmtId="177" fontId="4" fillId="0" borderId="2" xfId="0" quotePrefix="1" applyNumberFormat="1" applyFont="1" applyBorder="1" applyAlignment="1"/>
    <xf numFmtId="0" fontId="4" fillId="0" borderId="2" xfId="0" applyFont="1" applyBorder="1" applyAlignment="1"/>
    <xf numFmtId="41" fontId="4" fillId="0" borderId="0" xfId="0" applyNumberFormat="1" applyFont="1" applyAlignment="1"/>
    <xf numFmtId="0" fontId="4" fillId="0" borderId="0" xfId="0" applyFont="1" applyAlignment="1"/>
    <xf numFmtId="0" fontId="3" fillId="2" borderId="0" xfId="0" applyFont="1" applyFill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38">
    <cellStyle name="Comma" xfId="1" builtinId="3"/>
    <cellStyle name="Comma [0]" xfId="2" builtinId="6"/>
    <cellStyle name="Comma [0] 10" xfId="3" xr:uid="{00000000-0005-0000-0000-000002000000}"/>
    <cellStyle name="Comma [0] 2" xfId="4" xr:uid="{00000000-0005-0000-0000-000003000000}"/>
    <cellStyle name="Comma [0] 3" xfId="5" xr:uid="{00000000-0005-0000-0000-000004000000}"/>
    <cellStyle name="Comma [0] 4" xfId="6" xr:uid="{00000000-0005-0000-0000-000005000000}"/>
    <cellStyle name="Comma [0] 5" xfId="7" xr:uid="{00000000-0005-0000-0000-000006000000}"/>
    <cellStyle name="Comma [0] 6" xfId="8" xr:uid="{00000000-0005-0000-0000-000007000000}"/>
    <cellStyle name="Comma [0] 7" xfId="9" xr:uid="{00000000-0005-0000-0000-000008000000}"/>
    <cellStyle name="Comma [0] 8" xfId="10" xr:uid="{00000000-0005-0000-0000-000009000000}"/>
    <cellStyle name="Normal" xfId="0" builtinId="0"/>
    <cellStyle name="Normal 10" xfId="11" xr:uid="{00000000-0005-0000-0000-00000B000000}"/>
    <cellStyle name="Normal 11" xfId="12" xr:uid="{00000000-0005-0000-0000-00000C000000}"/>
    <cellStyle name="Normal 12" xfId="13" xr:uid="{00000000-0005-0000-0000-00000D000000}"/>
    <cellStyle name="Normal 13" xfId="14" xr:uid="{00000000-0005-0000-0000-00000E000000}"/>
    <cellStyle name="Normal 14" xfId="15" xr:uid="{00000000-0005-0000-0000-00000F000000}"/>
    <cellStyle name="Normal 15" xfId="16" xr:uid="{00000000-0005-0000-0000-000010000000}"/>
    <cellStyle name="Normal 16" xfId="17" xr:uid="{00000000-0005-0000-0000-000011000000}"/>
    <cellStyle name="Normal 17" xfId="18" xr:uid="{00000000-0005-0000-0000-000012000000}"/>
    <cellStyle name="Normal 18" xfId="19" xr:uid="{00000000-0005-0000-0000-000013000000}"/>
    <cellStyle name="Normal 19" xfId="20" xr:uid="{00000000-0005-0000-0000-000014000000}"/>
    <cellStyle name="Normal 2" xfId="21" xr:uid="{00000000-0005-0000-0000-000015000000}"/>
    <cellStyle name="Normal 20" xfId="22" xr:uid="{00000000-0005-0000-0000-000016000000}"/>
    <cellStyle name="Normal 21" xfId="23" xr:uid="{00000000-0005-0000-0000-000017000000}"/>
    <cellStyle name="Normal 22" xfId="24" xr:uid="{00000000-0005-0000-0000-000018000000}"/>
    <cellStyle name="Normal 23" xfId="25" xr:uid="{00000000-0005-0000-0000-000019000000}"/>
    <cellStyle name="Normal 24" xfId="26" xr:uid="{00000000-0005-0000-0000-00001A000000}"/>
    <cellStyle name="Normal 25" xfId="27" xr:uid="{00000000-0005-0000-0000-00001B000000}"/>
    <cellStyle name="Normal 26" xfId="28" xr:uid="{00000000-0005-0000-0000-00001C000000}"/>
    <cellStyle name="Normal 27" xfId="29" xr:uid="{00000000-0005-0000-0000-00001D000000}"/>
    <cellStyle name="Normal 28" xfId="30" xr:uid="{00000000-0005-0000-0000-00001E000000}"/>
    <cellStyle name="Normal 3" xfId="31" xr:uid="{00000000-0005-0000-0000-00001F000000}"/>
    <cellStyle name="Normal 4" xfId="32" xr:uid="{00000000-0005-0000-0000-000020000000}"/>
    <cellStyle name="Normal 5" xfId="33" xr:uid="{00000000-0005-0000-0000-000021000000}"/>
    <cellStyle name="Normal 6" xfId="34" xr:uid="{00000000-0005-0000-0000-000022000000}"/>
    <cellStyle name="Normal 7" xfId="35" xr:uid="{00000000-0005-0000-0000-000023000000}"/>
    <cellStyle name="Normal 8" xfId="36" xr:uid="{00000000-0005-0000-0000-000024000000}"/>
    <cellStyle name="Normal 9" xfId="37" xr:uid="{00000000-0005-0000-0000-000025000000}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F364-BF1A-45BD-AB5F-E6470267127E}">
  <sheetPr>
    <pageSetUpPr fitToPage="1"/>
  </sheetPr>
  <dimension ref="A1:J263"/>
  <sheetViews>
    <sheetView showGridLines="0" tabSelected="1" zoomScale="70" zoomScaleNormal="70" workbookViewId="0">
      <pane ySplit="4" topLeftCell="A236" activePane="bottomLeft" state="frozen"/>
      <selection pane="bottomLeft" activeCell="I236" sqref="A235:I236"/>
    </sheetView>
  </sheetViews>
  <sheetFormatPr defaultColWidth="8.8984375" defaultRowHeight="17.399999999999999" x14ac:dyDescent="0.4"/>
  <cols>
    <col min="1" max="1" width="11.09765625" style="2" customWidth="1"/>
    <col min="2" max="2" width="15" style="2" bestFit="1" customWidth="1"/>
    <col min="3" max="3" width="16.59765625" style="2" bestFit="1" customWidth="1"/>
    <col min="4" max="4" width="28.296875" style="2" bestFit="1" customWidth="1"/>
    <col min="5" max="5" width="85.69921875" style="2" customWidth="1"/>
    <col min="6" max="7" width="19.59765625" style="12" bestFit="1" customWidth="1"/>
    <col min="8" max="8" width="16.69921875" style="12" bestFit="1" customWidth="1"/>
    <col min="9" max="9" width="27.8984375" style="2" bestFit="1" customWidth="1"/>
    <col min="10" max="16384" width="8.8984375" style="2"/>
  </cols>
  <sheetData>
    <row r="1" spans="1:10" x14ac:dyDescent="0.4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2" spans="1:10" x14ac:dyDescent="0.4">
      <c r="A2" s="21" t="s">
        <v>158</v>
      </c>
      <c r="B2" s="22"/>
      <c r="C2" s="22"/>
      <c r="D2" s="22"/>
      <c r="E2" s="22"/>
      <c r="F2" s="22"/>
      <c r="G2" s="22"/>
      <c r="H2" s="22"/>
      <c r="I2" s="22"/>
    </row>
    <row r="3" spans="1:10" x14ac:dyDescent="0.4">
      <c r="A3" s="1" t="s">
        <v>1</v>
      </c>
      <c r="B3" s="3"/>
      <c r="C3" s="3"/>
      <c r="D3" s="3"/>
      <c r="E3" s="3"/>
      <c r="F3" s="8"/>
      <c r="G3" s="8"/>
      <c r="H3" s="8"/>
      <c r="I3" s="18" t="s">
        <v>2</v>
      </c>
    </row>
    <row r="4" spans="1:10" s="7" customFormat="1" x14ac:dyDescent="0.4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9" t="s">
        <v>8</v>
      </c>
      <c r="G4" s="9" t="s">
        <v>9</v>
      </c>
      <c r="H4" s="9" t="s">
        <v>10</v>
      </c>
      <c r="I4" s="6" t="s">
        <v>11</v>
      </c>
    </row>
    <row r="5" spans="1:10" s="17" customFormat="1" x14ac:dyDescent="0.4">
      <c r="A5" s="14">
        <v>46148</v>
      </c>
      <c r="B5" s="15">
        <v>1</v>
      </c>
      <c r="C5" s="4" t="s">
        <v>55</v>
      </c>
      <c r="D5" s="5" t="s">
        <v>56</v>
      </c>
      <c r="E5" s="5" t="s">
        <v>167</v>
      </c>
      <c r="F5" s="10">
        <v>320869723</v>
      </c>
      <c r="G5" s="10"/>
      <c r="H5" s="10">
        <f t="shared" ref="H5:H39" si="0">F5-G5</f>
        <v>320869723</v>
      </c>
      <c r="I5" s="15" t="s">
        <v>12</v>
      </c>
      <c r="J5" s="16"/>
    </row>
    <row r="6" spans="1:10" s="17" customFormat="1" x14ac:dyDescent="0.4">
      <c r="A6" s="14">
        <v>46148</v>
      </c>
      <c r="B6" s="15">
        <v>1</v>
      </c>
      <c r="C6" s="4" t="s">
        <v>73</v>
      </c>
      <c r="D6" s="5" t="s">
        <v>74</v>
      </c>
      <c r="E6" s="5" t="s">
        <v>14</v>
      </c>
      <c r="F6" s="10">
        <v>10000</v>
      </c>
      <c r="G6" s="10"/>
      <c r="H6" s="10">
        <f t="shared" si="0"/>
        <v>10000</v>
      </c>
      <c r="I6" s="15" t="s">
        <v>12</v>
      </c>
      <c r="J6" s="16"/>
    </row>
    <row r="7" spans="1:10" s="17" customFormat="1" x14ac:dyDescent="0.4">
      <c r="A7" s="14">
        <v>46148</v>
      </c>
      <c r="B7" s="15">
        <v>1</v>
      </c>
      <c r="C7" s="4" t="s">
        <v>39</v>
      </c>
      <c r="D7" s="5" t="s">
        <v>40</v>
      </c>
      <c r="E7" s="5" t="s">
        <v>156</v>
      </c>
      <c r="F7" s="10"/>
      <c r="G7" s="10">
        <v>333578271</v>
      </c>
      <c r="H7" s="10">
        <f t="shared" si="0"/>
        <v>-333578271</v>
      </c>
      <c r="I7" s="15" t="s">
        <v>12</v>
      </c>
      <c r="J7" s="16"/>
    </row>
    <row r="8" spans="1:10" s="17" customFormat="1" x14ac:dyDescent="0.4">
      <c r="A8" s="14">
        <v>46148</v>
      </c>
      <c r="B8" s="15">
        <v>1</v>
      </c>
      <c r="C8" s="4" t="s">
        <v>39</v>
      </c>
      <c r="D8" s="5" t="s">
        <v>40</v>
      </c>
      <c r="E8" s="5" t="s">
        <v>168</v>
      </c>
      <c r="F8" s="10"/>
      <c r="G8" s="10">
        <v>-1754472</v>
      </c>
      <c r="H8" s="10">
        <f t="shared" si="0"/>
        <v>1754472</v>
      </c>
      <c r="I8" s="15" t="s">
        <v>12</v>
      </c>
      <c r="J8" s="16"/>
    </row>
    <row r="9" spans="1:10" s="17" customFormat="1" x14ac:dyDescent="0.4">
      <c r="A9" s="14">
        <v>46148</v>
      </c>
      <c r="B9" s="15">
        <v>1</v>
      </c>
      <c r="C9" s="4" t="s">
        <v>116</v>
      </c>
      <c r="D9" s="5" t="s">
        <v>117</v>
      </c>
      <c r="E9" s="5" t="s">
        <v>13</v>
      </c>
      <c r="F9" s="10">
        <v>10944076</v>
      </c>
      <c r="G9" s="10"/>
      <c r="H9" s="10">
        <f t="shared" si="0"/>
        <v>10944076</v>
      </c>
      <c r="I9" s="15" t="s">
        <v>12</v>
      </c>
      <c r="J9" s="16"/>
    </row>
    <row r="10" spans="1:10" s="17" customFormat="1" x14ac:dyDescent="0.4">
      <c r="A10" s="14">
        <v>46150</v>
      </c>
      <c r="B10" s="15">
        <v>1</v>
      </c>
      <c r="C10" s="4" t="s">
        <v>146</v>
      </c>
      <c r="D10" s="5" t="s">
        <v>147</v>
      </c>
      <c r="E10" s="5" t="s">
        <v>148</v>
      </c>
      <c r="F10" s="10">
        <v>9000</v>
      </c>
      <c r="G10" s="10"/>
      <c r="H10" s="10">
        <f t="shared" si="0"/>
        <v>9000</v>
      </c>
      <c r="I10" s="15" t="s">
        <v>149</v>
      </c>
      <c r="J10" s="16"/>
    </row>
    <row r="11" spans="1:10" s="17" customFormat="1" x14ac:dyDescent="0.4">
      <c r="A11" s="14">
        <v>46150</v>
      </c>
      <c r="B11" s="15">
        <v>1</v>
      </c>
      <c r="C11" s="4" t="s">
        <v>75</v>
      </c>
      <c r="D11" s="5" t="s">
        <v>76</v>
      </c>
      <c r="E11" s="5" t="s">
        <v>148</v>
      </c>
      <c r="F11" s="10">
        <v>900</v>
      </c>
      <c r="G11" s="10"/>
      <c r="H11" s="10">
        <f t="shared" si="0"/>
        <v>900</v>
      </c>
      <c r="I11" s="15" t="s">
        <v>15</v>
      </c>
      <c r="J11" s="16"/>
    </row>
    <row r="12" spans="1:10" s="17" customFormat="1" x14ac:dyDescent="0.4">
      <c r="A12" s="14">
        <v>46150</v>
      </c>
      <c r="B12" s="15">
        <v>1</v>
      </c>
      <c r="C12" s="4" t="s">
        <v>45</v>
      </c>
      <c r="D12" s="5" t="s">
        <v>46</v>
      </c>
      <c r="E12" s="5" t="s">
        <v>148</v>
      </c>
      <c r="F12" s="10"/>
      <c r="G12" s="10">
        <v>9900</v>
      </c>
      <c r="H12" s="10">
        <f t="shared" si="0"/>
        <v>-9900</v>
      </c>
      <c r="I12" s="15" t="s">
        <v>15</v>
      </c>
      <c r="J12" s="16"/>
    </row>
    <row r="13" spans="1:10" s="17" customFormat="1" x14ac:dyDescent="0.4">
      <c r="A13" s="14">
        <v>46150</v>
      </c>
      <c r="B13" s="15">
        <v>1</v>
      </c>
      <c r="C13" s="4" t="s">
        <v>96</v>
      </c>
      <c r="D13" s="5" t="s">
        <v>97</v>
      </c>
      <c r="E13" s="5" t="s">
        <v>170</v>
      </c>
      <c r="F13" s="10">
        <v>50750</v>
      </c>
      <c r="G13" s="10"/>
      <c r="H13" s="10">
        <f t="shared" si="0"/>
        <v>50750</v>
      </c>
      <c r="I13" s="15" t="s">
        <v>15</v>
      </c>
      <c r="J13" s="16"/>
    </row>
    <row r="14" spans="1:10" s="17" customFormat="1" x14ac:dyDescent="0.4">
      <c r="A14" s="14">
        <v>46150</v>
      </c>
      <c r="B14" s="15">
        <v>1</v>
      </c>
      <c r="C14" s="4" t="s">
        <v>45</v>
      </c>
      <c r="D14" s="5" t="s">
        <v>46</v>
      </c>
      <c r="E14" s="5" t="s">
        <v>170</v>
      </c>
      <c r="F14" s="10"/>
      <c r="G14" s="10">
        <v>50750</v>
      </c>
      <c r="H14" s="10">
        <f t="shared" si="0"/>
        <v>-50750</v>
      </c>
      <c r="I14" s="15" t="s">
        <v>15</v>
      </c>
      <c r="J14" s="16"/>
    </row>
    <row r="15" spans="1:10" s="17" customFormat="1" x14ac:dyDescent="0.4">
      <c r="A15" s="14">
        <v>46153</v>
      </c>
      <c r="B15" s="15">
        <v>1</v>
      </c>
      <c r="C15" s="4" t="s">
        <v>61</v>
      </c>
      <c r="D15" s="5" t="s">
        <v>62</v>
      </c>
      <c r="E15" s="5" t="s">
        <v>171</v>
      </c>
      <c r="F15" s="10">
        <v>8119720</v>
      </c>
      <c r="G15" s="10"/>
      <c r="H15" s="10">
        <f t="shared" si="0"/>
        <v>8119720</v>
      </c>
      <c r="I15" s="15" t="s">
        <v>15</v>
      </c>
      <c r="J15" s="16"/>
    </row>
    <row r="16" spans="1:10" s="17" customFormat="1" x14ac:dyDescent="0.4">
      <c r="A16" s="14">
        <v>46153</v>
      </c>
      <c r="B16" s="15">
        <v>1</v>
      </c>
      <c r="C16" s="4" t="s">
        <v>63</v>
      </c>
      <c r="D16" s="5" t="s">
        <v>64</v>
      </c>
      <c r="E16" s="5" t="s">
        <v>172</v>
      </c>
      <c r="F16" s="10">
        <v>8119720</v>
      </c>
      <c r="G16" s="10"/>
      <c r="H16" s="10">
        <f t="shared" si="0"/>
        <v>8119720</v>
      </c>
      <c r="I16" s="15" t="s">
        <v>15</v>
      </c>
      <c r="J16" s="16"/>
    </row>
    <row r="17" spans="1:10" s="17" customFormat="1" x14ac:dyDescent="0.4">
      <c r="A17" s="14">
        <v>46153</v>
      </c>
      <c r="B17" s="15">
        <v>1</v>
      </c>
      <c r="C17" s="4" t="s">
        <v>55</v>
      </c>
      <c r="D17" s="5" t="s">
        <v>56</v>
      </c>
      <c r="E17" s="5" t="s">
        <v>173</v>
      </c>
      <c r="F17" s="10"/>
      <c r="G17" s="10">
        <v>16239440</v>
      </c>
      <c r="H17" s="10">
        <f t="shared" si="0"/>
        <v>-16239440</v>
      </c>
      <c r="I17" s="15" t="s">
        <v>15</v>
      </c>
      <c r="J17" s="16"/>
    </row>
    <row r="18" spans="1:10" s="17" customFormat="1" x14ac:dyDescent="0.4">
      <c r="A18" s="14">
        <v>46155</v>
      </c>
      <c r="B18" s="15">
        <v>1</v>
      </c>
      <c r="C18" s="4" t="s">
        <v>159</v>
      </c>
      <c r="D18" s="5" t="s">
        <v>163</v>
      </c>
      <c r="E18" s="5" t="s">
        <v>191</v>
      </c>
      <c r="F18" s="10">
        <v>33000</v>
      </c>
      <c r="G18" s="10"/>
      <c r="H18" s="10">
        <f t="shared" si="0"/>
        <v>33000</v>
      </c>
      <c r="I18" s="15" t="s">
        <v>15</v>
      </c>
      <c r="J18" s="16"/>
    </row>
    <row r="19" spans="1:10" s="17" customFormat="1" x14ac:dyDescent="0.4">
      <c r="A19" s="14">
        <v>46155</v>
      </c>
      <c r="B19" s="15">
        <v>1</v>
      </c>
      <c r="C19" s="4" t="s">
        <v>45</v>
      </c>
      <c r="D19" s="5" t="s">
        <v>46</v>
      </c>
      <c r="E19" s="5" t="s">
        <v>191</v>
      </c>
      <c r="F19" s="10"/>
      <c r="G19" s="10">
        <v>33000</v>
      </c>
      <c r="H19" s="10">
        <f t="shared" si="0"/>
        <v>-33000</v>
      </c>
      <c r="I19" s="15" t="s">
        <v>15</v>
      </c>
      <c r="J19" s="16"/>
    </row>
    <row r="20" spans="1:10" s="17" customFormat="1" x14ac:dyDescent="0.4">
      <c r="A20" s="14">
        <v>46157</v>
      </c>
      <c r="B20" s="15">
        <v>1</v>
      </c>
      <c r="C20" s="4" t="s">
        <v>55</v>
      </c>
      <c r="D20" s="5" t="s">
        <v>56</v>
      </c>
      <c r="E20" s="5" t="s">
        <v>192</v>
      </c>
      <c r="F20" s="10">
        <v>348380581</v>
      </c>
      <c r="G20" s="10"/>
      <c r="H20" s="10">
        <f t="shared" si="0"/>
        <v>348380581</v>
      </c>
      <c r="I20" s="15" t="s">
        <v>12</v>
      </c>
      <c r="J20" s="16"/>
    </row>
    <row r="21" spans="1:10" s="17" customFormat="1" x14ac:dyDescent="0.4">
      <c r="A21" s="14">
        <v>46157</v>
      </c>
      <c r="B21" s="15">
        <v>1</v>
      </c>
      <c r="C21" s="4" t="s">
        <v>73</v>
      </c>
      <c r="D21" s="5" t="s">
        <v>74</v>
      </c>
      <c r="E21" s="5" t="s">
        <v>14</v>
      </c>
      <c r="F21" s="10">
        <v>10000</v>
      </c>
      <c r="G21" s="10"/>
      <c r="H21" s="10">
        <f t="shared" si="0"/>
        <v>10000</v>
      </c>
      <c r="I21" s="15" t="s">
        <v>12</v>
      </c>
      <c r="J21" s="16"/>
    </row>
    <row r="22" spans="1:10" s="17" customFormat="1" x14ac:dyDescent="0.4">
      <c r="A22" s="14">
        <v>46157</v>
      </c>
      <c r="B22" s="15">
        <v>1</v>
      </c>
      <c r="C22" s="4" t="s">
        <v>39</v>
      </c>
      <c r="D22" s="5" t="s">
        <v>40</v>
      </c>
      <c r="E22" s="5" t="s">
        <v>157</v>
      </c>
      <c r="F22" s="10"/>
      <c r="G22" s="10">
        <v>353774084</v>
      </c>
      <c r="H22" s="10">
        <f t="shared" si="0"/>
        <v>-353774084</v>
      </c>
      <c r="I22" s="15" t="s">
        <v>12</v>
      </c>
      <c r="J22" s="16"/>
    </row>
    <row r="23" spans="1:10" s="17" customFormat="1" x14ac:dyDescent="0.4">
      <c r="A23" s="14">
        <v>46157</v>
      </c>
      <c r="B23" s="15">
        <v>1</v>
      </c>
      <c r="C23" s="4" t="s">
        <v>116</v>
      </c>
      <c r="D23" s="5" t="s">
        <v>117</v>
      </c>
      <c r="E23" s="5" t="s">
        <v>13</v>
      </c>
      <c r="F23" s="10">
        <v>5383503</v>
      </c>
      <c r="G23" s="10"/>
      <c r="H23" s="10">
        <f t="shared" si="0"/>
        <v>5383503</v>
      </c>
      <c r="I23" s="15" t="s">
        <v>12</v>
      </c>
      <c r="J23" s="16"/>
    </row>
    <row r="24" spans="1:10" s="17" customFormat="1" x14ac:dyDescent="0.4">
      <c r="A24" s="14">
        <v>46160</v>
      </c>
      <c r="B24" s="15">
        <v>1</v>
      </c>
      <c r="C24" s="4" t="s">
        <v>55</v>
      </c>
      <c r="D24" s="5" t="s">
        <v>56</v>
      </c>
      <c r="E24" s="5" t="s">
        <v>193</v>
      </c>
      <c r="F24" s="10">
        <v>17385500</v>
      </c>
      <c r="G24" s="10"/>
      <c r="H24" s="10">
        <f t="shared" si="0"/>
        <v>17385500</v>
      </c>
      <c r="I24" s="15" t="s">
        <v>20</v>
      </c>
      <c r="J24" s="16"/>
    </row>
    <row r="25" spans="1:10" s="17" customFormat="1" x14ac:dyDescent="0.4">
      <c r="A25" s="14">
        <v>46160</v>
      </c>
      <c r="B25" s="15">
        <v>1</v>
      </c>
      <c r="C25" s="4" t="s">
        <v>81</v>
      </c>
      <c r="D25" s="5" t="s">
        <v>82</v>
      </c>
      <c r="E25" s="5" t="s">
        <v>193</v>
      </c>
      <c r="F25" s="10"/>
      <c r="G25" s="10">
        <v>17385500</v>
      </c>
      <c r="H25" s="10">
        <f t="shared" si="0"/>
        <v>-17385500</v>
      </c>
      <c r="I25" s="15" t="s">
        <v>20</v>
      </c>
      <c r="J25" s="16"/>
    </row>
    <row r="26" spans="1:10" s="17" customFormat="1" x14ac:dyDescent="0.4">
      <c r="A26" s="14">
        <v>46164</v>
      </c>
      <c r="B26" s="15">
        <v>1</v>
      </c>
      <c r="C26" s="4" t="s">
        <v>88</v>
      </c>
      <c r="D26" s="5" t="s">
        <v>89</v>
      </c>
      <c r="E26" s="5" t="s">
        <v>197</v>
      </c>
      <c r="F26" s="10">
        <v>122263041</v>
      </c>
      <c r="G26" s="10"/>
      <c r="H26" s="10">
        <f t="shared" si="0"/>
        <v>122263041</v>
      </c>
      <c r="I26" s="15" t="s">
        <v>15</v>
      </c>
      <c r="J26" s="16"/>
    </row>
    <row r="27" spans="1:10" s="17" customFormat="1" x14ac:dyDescent="0.4">
      <c r="A27" s="14">
        <v>46164</v>
      </c>
      <c r="B27" s="15">
        <v>1</v>
      </c>
      <c r="C27" s="4" t="s">
        <v>51</v>
      </c>
      <c r="D27" s="5" t="s">
        <v>52</v>
      </c>
      <c r="E27" s="5" t="s">
        <v>198</v>
      </c>
      <c r="F27" s="10"/>
      <c r="G27" s="10">
        <v>12246030</v>
      </c>
      <c r="H27" s="10">
        <f t="shared" si="0"/>
        <v>-12246030</v>
      </c>
      <c r="I27" s="15" t="s">
        <v>15</v>
      </c>
      <c r="J27" s="16"/>
    </row>
    <row r="28" spans="1:10" s="17" customFormat="1" x14ac:dyDescent="0.4">
      <c r="A28" s="14">
        <v>46164</v>
      </c>
      <c r="B28" s="15">
        <v>1</v>
      </c>
      <c r="C28" s="4" t="s">
        <v>53</v>
      </c>
      <c r="D28" s="5" t="s">
        <v>54</v>
      </c>
      <c r="E28" s="5" t="s">
        <v>199</v>
      </c>
      <c r="F28" s="10"/>
      <c r="G28" s="10">
        <v>1224580</v>
      </c>
      <c r="H28" s="10">
        <f t="shared" si="0"/>
        <v>-1224580</v>
      </c>
      <c r="I28" s="15" t="s">
        <v>15</v>
      </c>
      <c r="J28" s="16"/>
    </row>
    <row r="29" spans="1:10" s="17" customFormat="1" x14ac:dyDescent="0.4">
      <c r="A29" s="14">
        <v>46164</v>
      </c>
      <c r="B29" s="15">
        <v>1</v>
      </c>
      <c r="C29" s="4" t="s">
        <v>67</v>
      </c>
      <c r="D29" s="5" t="s">
        <v>68</v>
      </c>
      <c r="E29" s="5" t="s">
        <v>200</v>
      </c>
      <c r="F29" s="10"/>
      <c r="G29" s="10">
        <v>2826870</v>
      </c>
      <c r="H29" s="10">
        <f t="shared" si="0"/>
        <v>-2826870</v>
      </c>
      <c r="I29" s="15" t="s">
        <v>15</v>
      </c>
      <c r="J29" s="16"/>
    </row>
    <row r="30" spans="1:10" s="17" customFormat="1" x14ac:dyDescent="0.4">
      <c r="A30" s="14">
        <v>46164</v>
      </c>
      <c r="B30" s="15">
        <v>1</v>
      </c>
      <c r="C30" s="4" t="s">
        <v>63</v>
      </c>
      <c r="D30" s="5" t="s">
        <v>64</v>
      </c>
      <c r="E30" s="5" t="s">
        <v>201</v>
      </c>
      <c r="F30" s="10"/>
      <c r="G30" s="10">
        <v>6530880</v>
      </c>
      <c r="H30" s="10">
        <f t="shared" si="0"/>
        <v>-6530880</v>
      </c>
      <c r="I30" s="15" t="s">
        <v>15</v>
      </c>
      <c r="J30" s="16"/>
    </row>
    <row r="31" spans="1:10" s="17" customFormat="1" x14ac:dyDescent="0.4">
      <c r="A31" s="14">
        <v>46164</v>
      </c>
      <c r="B31" s="15">
        <v>1</v>
      </c>
      <c r="C31" s="4" t="s">
        <v>63</v>
      </c>
      <c r="D31" s="5" t="s">
        <v>64</v>
      </c>
      <c r="E31" s="5" t="s">
        <v>202</v>
      </c>
      <c r="F31" s="10"/>
      <c r="G31" s="10">
        <v>1082320</v>
      </c>
      <c r="H31" s="10">
        <f t="shared" si="0"/>
        <v>-1082320</v>
      </c>
      <c r="I31" s="15" t="s">
        <v>15</v>
      </c>
      <c r="J31" s="16"/>
    </row>
    <row r="32" spans="1:10" s="17" customFormat="1" x14ac:dyDescent="0.4">
      <c r="A32" s="14">
        <v>46164</v>
      </c>
      <c r="B32" s="15">
        <v>1</v>
      </c>
      <c r="C32" s="4" t="s">
        <v>55</v>
      </c>
      <c r="D32" s="5" t="s">
        <v>56</v>
      </c>
      <c r="E32" s="5" t="s">
        <v>203</v>
      </c>
      <c r="F32" s="10"/>
      <c r="G32" s="10">
        <v>98352361</v>
      </c>
      <c r="H32" s="10">
        <f t="shared" si="0"/>
        <v>-98352361</v>
      </c>
      <c r="I32" s="15" t="s">
        <v>15</v>
      </c>
      <c r="J32" s="16"/>
    </row>
    <row r="33" spans="1:10" s="17" customFormat="1" x14ac:dyDescent="0.4">
      <c r="A33" s="14">
        <v>46168</v>
      </c>
      <c r="B33" s="15">
        <v>1</v>
      </c>
      <c r="C33" s="4" t="s">
        <v>114</v>
      </c>
      <c r="D33" s="5" t="s">
        <v>115</v>
      </c>
      <c r="E33" s="5" t="s">
        <v>214</v>
      </c>
      <c r="F33" s="10">
        <v>30500</v>
      </c>
      <c r="G33" s="10"/>
      <c r="H33" s="10">
        <f t="shared" si="0"/>
        <v>30500</v>
      </c>
      <c r="I33" s="15" t="s">
        <v>31</v>
      </c>
      <c r="J33" s="16"/>
    </row>
    <row r="34" spans="1:10" s="17" customFormat="1" x14ac:dyDescent="0.4">
      <c r="A34" s="14">
        <v>46168</v>
      </c>
      <c r="B34" s="15">
        <v>1</v>
      </c>
      <c r="C34" s="4" t="s">
        <v>75</v>
      </c>
      <c r="D34" s="5" t="s">
        <v>76</v>
      </c>
      <c r="E34" s="5" t="s">
        <v>214</v>
      </c>
      <c r="F34" s="10">
        <v>3050</v>
      </c>
      <c r="G34" s="10"/>
      <c r="H34" s="10">
        <f t="shared" si="0"/>
        <v>3050</v>
      </c>
      <c r="I34" s="15" t="s">
        <v>31</v>
      </c>
      <c r="J34" s="16"/>
    </row>
    <row r="35" spans="1:10" s="17" customFormat="1" x14ac:dyDescent="0.4">
      <c r="A35" s="14">
        <v>46168</v>
      </c>
      <c r="B35" s="15">
        <v>1</v>
      </c>
      <c r="C35" s="4" t="s">
        <v>55</v>
      </c>
      <c r="D35" s="5" t="s">
        <v>56</v>
      </c>
      <c r="E35" s="5" t="s">
        <v>214</v>
      </c>
      <c r="F35" s="10"/>
      <c r="G35" s="10">
        <v>33550</v>
      </c>
      <c r="H35" s="10">
        <f t="shared" si="0"/>
        <v>-33550</v>
      </c>
      <c r="I35" s="15" t="s">
        <v>31</v>
      </c>
      <c r="J35" s="16"/>
    </row>
    <row r="36" spans="1:10" s="17" customFormat="1" x14ac:dyDescent="0.4">
      <c r="A36" s="14">
        <v>46171</v>
      </c>
      <c r="B36" s="15">
        <v>1</v>
      </c>
      <c r="C36" s="4" t="s">
        <v>55</v>
      </c>
      <c r="D36" s="5" t="s">
        <v>56</v>
      </c>
      <c r="E36" s="5" t="s">
        <v>27</v>
      </c>
      <c r="F36" s="10">
        <v>1423244420</v>
      </c>
      <c r="G36" s="10"/>
      <c r="H36" s="10">
        <f t="shared" si="0"/>
        <v>1423244420</v>
      </c>
      <c r="I36" s="15" t="s">
        <v>15</v>
      </c>
      <c r="J36" s="16"/>
    </row>
    <row r="37" spans="1:10" s="17" customFormat="1" x14ac:dyDescent="0.4">
      <c r="A37" s="14">
        <v>46171</v>
      </c>
      <c r="B37" s="15">
        <v>1</v>
      </c>
      <c r="C37" s="4" t="s">
        <v>39</v>
      </c>
      <c r="D37" s="5" t="s">
        <v>40</v>
      </c>
      <c r="E37" s="5" t="s">
        <v>27</v>
      </c>
      <c r="F37" s="10"/>
      <c r="G37" s="10">
        <v>1423244420</v>
      </c>
      <c r="H37" s="10">
        <f t="shared" si="0"/>
        <v>-1423244420</v>
      </c>
      <c r="I37" s="15" t="s">
        <v>15</v>
      </c>
      <c r="J37" s="16"/>
    </row>
    <row r="38" spans="1:10" s="17" customFormat="1" x14ac:dyDescent="0.4">
      <c r="A38" s="14">
        <v>46173</v>
      </c>
      <c r="B38" s="15">
        <v>1</v>
      </c>
      <c r="C38" s="4" t="s">
        <v>39</v>
      </c>
      <c r="D38" s="5" t="s">
        <v>40</v>
      </c>
      <c r="E38" s="5" t="s">
        <v>216</v>
      </c>
      <c r="F38" s="10">
        <v>344736400</v>
      </c>
      <c r="G38" s="10"/>
      <c r="H38" s="10">
        <f t="shared" si="0"/>
        <v>344736400</v>
      </c>
      <c r="I38" s="15" t="s">
        <v>12</v>
      </c>
      <c r="J38" s="16"/>
    </row>
    <row r="39" spans="1:10" s="17" customFormat="1" x14ac:dyDescent="0.4">
      <c r="A39" s="14">
        <v>46173</v>
      </c>
      <c r="B39" s="15">
        <v>1</v>
      </c>
      <c r="C39" s="4" t="s">
        <v>41</v>
      </c>
      <c r="D39" s="5" t="s">
        <v>42</v>
      </c>
      <c r="E39" s="5" t="s">
        <v>216</v>
      </c>
      <c r="F39" s="10"/>
      <c r="G39" s="10">
        <v>344736400</v>
      </c>
      <c r="H39" s="10">
        <f t="shared" si="0"/>
        <v>-344736400</v>
      </c>
      <c r="I39" s="15" t="s">
        <v>12</v>
      </c>
      <c r="J39" s="16"/>
    </row>
    <row r="40" spans="1:10" s="17" customFormat="1" x14ac:dyDescent="0.4">
      <c r="A40" s="14"/>
      <c r="B40" s="15"/>
      <c r="C40" s="4"/>
      <c r="D40" s="5"/>
      <c r="E40" s="5"/>
      <c r="F40" s="10"/>
      <c r="G40" s="10"/>
      <c r="H40" s="10"/>
      <c r="I40" s="15"/>
      <c r="J40" s="16"/>
    </row>
    <row r="41" spans="1:10" s="17" customFormat="1" x14ac:dyDescent="0.4">
      <c r="A41" s="14">
        <v>46148</v>
      </c>
      <c r="B41" s="15">
        <v>2</v>
      </c>
      <c r="C41" s="4" t="s">
        <v>96</v>
      </c>
      <c r="D41" s="5" t="s">
        <v>97</v>
      </c>
      <c r="E41" s="5" t="s">
        <v>169</v>
      </c>
      <c r="F41" s="10">
        <v>29230</v>
      </c>
      <c r="G41" s="10"/>
      <c r="H41" s="10">
        <f t="shared" ref="H41:H56" si="1">F41-G41</f>
        <v>29230</v>
      </c>
      <c r="I41" s="15" t="s">
        <v>15</v>
      </c>
      <c r="J41" s="16"/>
    </row>
    <row r="42" spans="1:10" s="17" customFormat="1" x14ac:dyDescent="0.4">
      <c r="A42" s="14">
        <v>46148</v>
      </c>
      <c r="B42" s="15">
        <v>2</v>
      </c>
      <c r="C42" s="4" t="s">
        <v>45</v>
      </c>
      <c r="D42" s="5" t="s">
        <v>46</v>
      </c>
      <c r="E42" s="5" t="s">
        <v>169</v>
      </c>
      <c r="F42" s="10"/>
      <c r="G42" s="10">
        <v>29230</v>
      </c>
      <c r="H42" s="10">
        <f t="shared" si="1"/>
        <v>-29230</v>
      </c>
      <c r="I42" s="15" t="s">
        <v>15</v>
      </c>
      <c r="J42" s="16"/>
    </row>
    <row r="43" spans="1:10" s="17" customFormat="1" x14ac:dyDescent="0.4">
      <c r="A43" s="14">
        <v>46153</v>
      </c>
      <c r="B43" s="15">
        <v>2</v>
      </c>
      <c r="C43" s="4" t="s">
        <v>65</v>
      </c>
      <c r="D43" s="5" t="s">
        <v>66</v>
      </c>
      <c r="E43" s="5" t="s">
        <v>174</v>
      </c>
      <c r="F43" s="10">
        <v>2826870</v>
      </c>
      <c r="G43" s="10"/>
      <c r="H43" s="10">
        <f t="shared" si="1"/>
        <v>2826870</v>
      </c>
      <c r="I43" s="15" t="s">
        <v>15</v>
      </c>
      <c r="J43" s="16"/>
    </row>
    <row r="44" spans="1:10" s="17" customFormat="1" x14ac:dyDescent="0.4">
      <c r="A44" s="14">
        <v>46153</v>
      </c>
      <c r="B44" s="15">
        <v>2</v>
      </c>
      <c r="C44" s="4" t="s">
        <v>67</v>
      </c>
      <c r="D44" s="5" t="s">
        <v>68</v>
      </c>
      <c r="E44" s="5" t="s">
        <v>175</v>
      </c>
      <c r="F44" s="10">
        <v>2826870</v>
      </c>
      <c r="G44" s="10"/>
      <c r="H44" s="10">
        <f t="shared" si="1"/>
        <v>2826870</v>
      </c>
      <c r="I44" s="15" t="s">
        <v>15</v>
      </c>
      <c r="J44" s="16"/>
    </row>
    <row r="45" spans="1:10" s="17" customFormat="1" x14ac:dyDescent="0.4">
      <c r="A45" s="14">
        <v>46153</v>
      </c>
      <c r="B45" s="15">
        <v>2</v>
      </c>
      <c r="C45" s="4" t="s">
        <v>69</v>
      </c>
      <c r="D45" s="5" t="s">
        <v>70</v>
      </c>
      <c r="E45" s="5" t="s">
        <v>176</v>
      </c>
      <c r="F45" s="10"/>
      <c r="G45" s="10">
        <v>200</v>
      </c>
      <c r="H45" s="10">
        <f t="shared" si="1"/>
        <v>-200</v>
      </c>
      <c r="I45" s="15" t="s">
        <v>15</v>
      </c>
      <c r="J45" s="16"/>
    </row>
    <row r="46" spans="1:10" s="17" customFormat="1" x14ac:dyDescent="0.4">
      <c r="A46" s="14">
        <v>46153</v>
      </c>
      <c r="B46" s="15">
        <v>2</v>
      </c>
      <c r="C46" s="4" t="s">
        <v>55</v>
      </c>
      <c r="D46" s="5" t="s">
        <v>56</v>
      </c>
      <c r="E46" s="5" t="s">
        <v>177</v>
      </c>
      <c r="F46" s="10"/>
      <c r="G46" s="10">
        <v>5653540</v>
      </c>
      <c r="H46" s="10">
        <f t="shared" si="1"/>
        <v>-5653540</v>
      </c>
      <c r="I46" s="15" t="s">
        <v>15</v>
      </c>
      <c r="J46" s="16"/>
    </row>
    <row r="47" spans="1:10" s="17" customFormat="1" x14ac:dyDescent="0.4">
      <c r="A47" s="14">
        <v>46160</v>
      </c>
      <c r="B47" s="15">
        <v>2</v>
      </c>
      <c r="C47" s="4" t="s">
        <v>81</v>
      </c>
      <c r="D47" s="5" t="s">
        <v>82</v>
      </c>
      <c r="E47" s="5" t="s">
        <v>194</v>
      </c>
      <c r="F47" s="10">
        <v>17385500</v>
      </c>
      <c r="G47" s="10"/>
      <c r="H47" s="10">
        <f t="shared" si="1"/>
        <v>17385500</v>
      </c>
      <c r="I47" s="15" t="s">
        <v>20</v>
      </c>
      <c r="J47" s="16"/>
    </row>
    <row r="48" spans="1:10" s="17" customFormat="1" x14ac:dyDescent="0.4">
      <c r="A48" s="14">
        <v>46160</v>
      </c>
      <c r="B48" s="15">
        <v>2</v>
      </c>
      <c r="C48" s="4" t="s">
        <v>83</v>
      </c>
      <c r="D48" s="5" t="s">
        <v>84</v>
      </c>
      <c r="E48" s="5" t="s">
        <v>194</v>
      </c>
      <c r="F48" s="10"/>
      <c r="G48" s="10">
        <v>15805000</v>
      </c>
      <c r="H48" s="10">
        <f t="shared" si="1"/>
        <v>-15805000</v>
      </c>
      <c r="I48" s="15" t="s">
        <v>20</v>
      </c>
      <c r="J48" s="16"/>
    </row>
    <row r="49" spans="1:10" s="17" customFormat="1" x14ac:dyDescent="0.4">
      <c r="A49" s="14">
        <v>46160</v>
      </c>
      <c r="B49" s="15">
        <v>2</v>
      </c>
      <c r="C49" s="4" t="s">
        <v>75</v>
      </c>
      <c r="D49" s="5" t="s">
        <v>76</v>
      </c>
      <c r="E49" s="5" t="s">
        <v>194</v>
      </c>
      <c r="F49" s="10"/>
      <c r="G49" s="10">
        <v>1580500</v>
      </c>
      <c r="H49" s="10">
        <f t="shared" si="1"/>
        <v>-1580500</v>
      </c>
      <c r="I49" s="15" t="s">
        <v>20</v>
      </c>
      <c r="J49" s="16"/>
    </row>
    <row r="50" spans="1:10" s="17" customFormat="1" x14ac:dyDescent="0.4">
      <c r="A50" s="14">
        <v>46164</v>
      </c>
      <c r="B50" s="15">
        <v>2</v>
      </c>
      <c r="C50" s="4" t="s">
        <v>90</v>
      </c>
      <c r="D50" s="5" t="s">
        <v>91</v>
      </c>
      <c r="E50" s="5" t="s">
        <v>22</v>
      </c>
      <c r="F50" s="10">
        <v>44942</v>
      </c>
      <c r="G50" s="10"/>
      <c r="H50" s="10">
        <f t="shared" si="1"/>
        <v>44942</v>
      </c>
      <c r="I50" s="15" t="s">
        <v>15</v>
      </c>
      <c r="J50" s="16"/>
    </row>
    <row r="51" spans="1:10" s="17" customFormat="1" x14ac:dyDescent="0.4">
      <c r="A51" s="14">
        <v>46164</v>
      </c>
      <c r="B51" s="15">
        <v>2</v>
      </c>
      <c r="C51" s="4" t="s">
        <v>92</v>
      </c>
      <c r="D51" s="5" t="s">
        <v>93</v>
      </c>
      <c r="E51" s="5" t="s">
        <v>22</v>
      </c>
      <c r="F51" s="10">
        <v>243000</v>
      </c>
      <c r="G51" s="10"/>
      <c r="H51" s="10">
        <f t="shared" si="1"/>
        <v>243000</v>
      </c>
      <c r="I51" s="15" t="s">
        <v>15</v>
      </c>
      <c r="J51" s="16"/>
    </row>
    <row r="52" spans="1:10" s="17" customFormat="1" x14ac:dyDescent="0.4">
      <c r="A52" s="14">
        <v>46164</v>
      </c>
      <c r="B52" s="15">
        <v>2</v>
      </c>
      <c r="C52" s="4" t="s">
        <v>55</v>
      </c>
      <c r="D52" s="5" t="s">
        <v>56</v>
      </c>
      <c r="E52" s="5" t="s">
        <v>22</v>
      </c>
      <c r="F52" s="10"/>
      <c r="G52" s="10">
        <v>287942</v>
      </c>
      <c r="H52" s="10">
        <f t="shared" si="1"/>
        <v>-287942</v>
      </c>
      <c r="I52" s="15" t="s">
        <v>15</v>
      </c>
      <c r="J52" s="16"/>
    </row>
    <row r="53" spans="1:10" s="17" customFormat="1" x14ac:dyDescent="0.4">
      <c r="A53" s="14">
        <v>46171</v>
      </c>
      <c r="B53" s="15">
        <v>2</v>
      </c>
      <c r="C53" s="4" t="s">
        <v>55</v>
      </c>
      <c r="D53" s="5" t="s">
        <v>56</v>
      </c>
      <c r="E53" s="5" t="s">
        <v>215</v>
      </c>
      <c r="F53" s="10">
        <v>16084335</v>
      </c>
      <c r="G53" s="10"/>
      <c r="H53" s="10">
        <f t="shared" si="1"/>
        <v>16084335</v>
      </c>
      <c r="I53" s="15" t="s">
        <v>241</v>
      </c>
      <c r="J53" s="16"/>
    </row>
    <row r="54" spans="1:10" s="17" customFormat="1" x14ac:dyDescent="0.4">
      <c r="A54" s="14">
        <v>46171</v>
      </c>
      <c r="B54" s="15">
        <v>2</v>
      </c>
      <c r="C54" s="4" t="s">
        <v>39</v>
      </c>
      <c r="D54" s="5" t="s">
        <v>40</v>
      </c>
      <c r="E54" s="5" t="s">
        <v>215</v>
      </c>
      <c r="F54" s="10"/>
      <c r="G54" s="10">
        <v>16084335</v>
      </c>
      <c r="H54" s="10">
        <f t="shared" si="1"/>
        <v>-16084335</v>
      </c>
      <c r="I54" s="15" t="s">
        <v>241</v>
      </c>
      <c r="J54" s="16"/>
    </row>
    <row r="55" spans="1:10" s="17" customFormat="1" x14ac:dyDescent="0.4">
      <c r="A55" s="14">
        <v>46173</v>
      </c>
      <c r="B55" s="15">
        <v>2</v>
      </c>
      <c r="C55" s="4" t="s">
        <v>39</v>
      </c>
      <c r="D55" s="5" t="s">
        <v>40</v>
      </c>
      <c r="E55" s="5" t="s">
        <v>217</v>
      </c>
      <c r="F55" s="10">
        <v>343711508</v>
      </c>
      <c r="G55" s="10"/>
      <c r="H55" s="10">
        <f t="shared" si="1"/>
        <v>343711508</v>
      </c>
      <c r="I55" s="15" t="s">
        <v>12</v>
      </c>
      <c r="J55" s="16"/>
    </row>
    <row r="56" spans="1:10" s="17" customFormat="1" x14ac:dyDescent="0.4">
      <c r="A56" s="14">
        <v>46173</v>
      </c>
      <c r="B56" s="15">
        <v>2</v>
      </c>
      <c r="C56" s="4" t="s">
        <v>41</v>
      </c>
      <c r="D56" s="5" t="s">
        <v>42</v>
      </c>
      <c r="E56" s="5" t="s">
        <v>217</v>
      </c>
      <c r="F56" s="10"/>
      <c r="G56" s="10">
        <v>343711508</v>
      </c>
      <c r="H56" s="10">
        <f t="shared" si="1"/>
        <v>-343711508</v>
      </c>
      <c r="I56" s="15" t="s">
        <v>12</v>
      </c>
      <c r="J56" s="16"/>
    </row>
    <row r="57" spans="1:10" s="17" customFormat="1" x14ac:dyDescent="0.4">
      <c r="A57" s="14"/>
      <c r="B57" s="15"/>
      <c r="C57" s="4"/>
      <c r="D57" s="5"/>
      <c r="E57" s="5"/>
      <c r="F57" s="10"/>
      <c r="G57" s="10"/>
      <c r="H57" s="10"/>
      <c r="I57" s="15"/>
      <c r="J57" s="16"/>
    </row>
    <row r="58" spans="1:10" s="17" customFormat="1" x14ac:dyDescent="0.4">
      <c r="A58" s="14">
        <v>46153</v>
      </c>
      <c r="B58" s="15">
        <v>3</v>
      </c>
      <c r="C58" s="4" t="s">
        <v>63</v>
      </c>
      <c r="D58" s="5" t="s">
        <v>64</v>
      </c>
      <c r="E58" s="5" t="s">
        <v>178</v>
      </c>
      <c r="F58" s="10">
        <v>990770</v>
      </c>
      <c r="G58" s="10"/>
      <c r="H58" s="10">
        <f t="shared" ref="H58:H69" si="2">F58-G58</f>
        <v>990770</v>
      </c>
      <c r="I58" s="15" t="s">
        <v>15</v>
      </c>
      <c r="J58" s="16"/>
    </row>
    <row r="59" spans="1:10" s="17" customFormat="1" x14ac:dyDescent="0.4">
      <c r="A59" s="14">
        <v>46153</v>
      </c>
      <c r="B59" s="15">
        <v>3</v>
      </c>
      <c r="C59" s="4" t="s">
        <v>71</v>
      </c>
      <c r="D59" s="5" t="s">
        <v>72</v>
      </c>
      <c r="E59" s="5" t="s">
        <v>179</v>
      </c>
      <c r="F59" s="10">
        <v>2611110</v>
      </c>
      <c r="G59" s="10"/>
      <c r="H59" s="10">
        <f t="shared" si="2"/>
        <v>2611110</v>
      </c>
      <c r="I59" s="15" t="s">
        <v>15</v>
      </c>
      <c r="J59" s="16"/>
    </row>
    <row r="60" spans="1:10" s="17" customFormat="1" x14ac:dyDescent="0.4">
      <c r="A60" s="14">
        <v>46153</v>
      </c>
      <c r="B60" s="15">
        <v>3</v>
      </c>
      <c r="C60" s="4" t="s">
        <v>55</v>
      </c>
      <c r="D60" s="5" t="s">
        <v>56</v>
      </c>
      <c r="E60" s="5" t="s">
        <v>179</v>
      </c>
      <c r="F60" s="10"/>
      <c r="G60" s="10">
        <v>3601880</v>
      </c>
      <c r="H60" s="10">
        <f t="shared" si="2"/>
        <v>-3601880</v>
      </c>
      <c r="I60" s="15" t="s">
        <v>15</v>
      </c>
      <c r="J60" s="16"/>
    </row>
    <row r="61" spans="1:10" s="17" customFormat="1" x14ac:dyDescent="0.4">
      <c r="A61" s="14">
        <v>46160</v>
      </c>
      <c r="B61" s="15">
        <v>3</v>
      </c>
      <c r="C61" s="4" t="s">
        <v>55</v>
      </c>
      <c r="D61" s="5" t="s">
        <v>56</v>
      </c>
      <c r="E61" s="5" t="s">
        <v>85</v>
      </c>
      <c r="F61" s="10">
        <v>4908750</v>
      </c>
      <c r="G61" s="10"/>
      <c r="H61" s="10">
        <f t="shared" si="2"/>
        <v>4908750</v>
      </c>
      <c r="I61" s="15" t="s">
        <v>20</v>
      </c>
      <c r="J61" s="16"/>
    </row>
    <row r="62" spans="1:10" s="17" customFormat="1" x14ac:dyDescent="0.4">
      <c r="A62" s="14">
        <v>46160</v>
      </c>
      <c r="B62" s="15">
        <v>3</v>
      </c>
      <c r="C62" s="4" t="s">
        <v>83</v>
      </c>
      <c r="D62" s="5" t="s">
        <v>84</v>
      </c>
      <c r="E62" s="5" t="s">
        <v>85</v>
      </c>
      <c r="F62" s="10"/>
      <c r="G62" s="10">
        <v>4462500</v>
      </c>
      <c r="H62" s="10">
        <f t="shared" si="2"/>
        <v>-4462500</v>
      </c>
      <c r="I62" s="15" t="s">
        <v>20</v>
      </c>
      <c r="J62" s="16"/>
    </row>
    <row r="63" spans="1:10" s="17" customFormat="1" x14ac:dyDescent="0.4">
      <c r="A63" s="14">
        <v>46160</v>
      </c>
      <c r="B63" s="15">
        <v>3</v>
      </c>
      <c r="C63" s="4" t="s">
        <v>75</v>
      </c>
      <c r="D63" s="5" t="s">
        <v>76</v>
      </c>
      <c r="E63" s="5" t="s">
        <v>85</v>
      </c>
      <c r="F63" s="10"/>
      <c r="G63" s="10">
        <v>446250</v>
      </c>
      <c r="H63" s="10">
        <f t="shared" si="2"/>
        <v>-446250</v>
      </c>
      <c r="I63" s="15" t="s">
        <v>20</v>
      </c>
      <c r="J63" s="16"/>
    </row>
    <row r="64" spans="1:10" s="17" customFormat="1" x14ac:dyDescent="0.4">
      <c r="A64" s="14">
        <v>46164</v>
      </c>
      <c r="B64" s="15">
        <v>3</v>
      </c>
      <c r="C64" s="4" t="s">
        <v>90</v>
      </c>
      <c r="D64" s="5" t="s">
        <v>91</v>
      </c>
      <c r="E64" s="5" t="s">
        <v>23</v>
      </c>
      <c r="F64" s="10">
        <v>36159</v>
      </c>
      <c r="G64" s="10"/>
      <c r="H64" s="10">
        <f t="shared" si="2"/>
        <v>36159</v>
      </c>
      <c r="I64" s="15" t="s">
        <v>15</v>
      </c>
      <c r="J64" s="16"/>
    </row>
    <row r="65" spans="1:10" s="17" customFormat="1" x14ac:dyDescent="0.4">
      <c r="A65" s="14">
        <v>46164</v>
      </c>
      <c r="B65" s="15">
        <v>3</v>
      </c>
      <c r="C65" s="4" t="s">
        <v>94</v>
      </c>
      <c r="D65" s="5" t="s">
        <v>95</v>
      </c>
      <c r="E65" s="5" t="s">
        <v>23</v>
      </c>
      <c r="F65" s="10">
        <v>19000</v>
      </c>
      <c r="G65" s="10"/>
      <c r="H65" s="10">
        <f t="shared" si="2"/>
        <v>19000</v>
      </c>
      <c r="I65" s="15" t="s">
        <v>15</v>
      </c>
      <c r="J65" s="16"/>
    </row>
    <row r="66" spans="1:10" s="17" customFormat="1" x14ac:dyDescent="0.4">
      <c r="A66" s="14">
        <v>46164</v>
      </c>
      <c r="B66" s="15">
        <v>3</v>
      </c>
      <c r="C66" s="4" t="s">
        <v>55</v>
      </c>
      <c r="D66" s="5" t="s">
        <v>56</v>
      </c>
      <c r="E66" s="5" t="s">
        <v>23</v>
      </c>
      <c r="F66" s="10"/>
      <c r="G66" s="10">
        <v>55159</v>
      </c>
      <c r="H66" s="10">
        <f t="shared" si="2"/>
        <v>-55159</v>
      </c>
      <c r="I66" s="15" t="s">
        <v>15</v>
      </c>
      <c r="J66" s="16"/>
    </row>
    <row r="67" spans="1:10" s="17" customFormat="1" x14ac:dyDescent="0.4">
      <c r="A67" s="14">
        <v>46173</v>
      </c>
      <c r="B67" s="15">
        <v>3</v>
      </c>
      <c r="C67" s="4" t="s">
        <v>39</v>
      </c>
      <c r="D67" s="5" t="s">
        <v>40</v>
      </c>
      <c r="E67" s="5" t="s">
        <v>218</v>
      </c>
      <c r="F67" s="10">
        <v>1046836530</v>
      </c>
      <c r="G67" s="10"/>
      <c r="H67" s="10">
        <f t="shared" si="2"/>
        <v>1046836530</v>
      </c>
      <c r="I67" s="15" t="s">
        <v>12</v>
      </c>
      <c r="J67" s="16"/>
    </row>
    <row r="68" spans="1:10" s="17" customFormat="1" x14ac:dyDescent="0.4">
      <c r="A68" s="14">
        <v>46173</v>
      </c>
      <c r="B68" s="15">
        <v>3</v>
      </c>
      <c r="C68" s="4" t="s">
        <v>41</v>
      </c>
      <c r="D68" s="5" t="s">
        <v>42</v>
      </c>
      <c r="E68" s="5" t="s">
        <v>218</v>
      </c>
      <c r="F68" s="10"/>
      <c r="G68" s="10">
        <v>951669573</v>
      </c>
      <c r="H68" s="10">
        <f t="shared" si="2"/>
        <v>-951669573</v>
      </c>
      <c r="I68" s="15" t="s">
        <v>12</v>
      </c>
      <c r="J68" s="16"/>
    </row>
    <row r="69" spans="1:10" s="17" customFormat="1" x14ac:dyDescent="0.4">
      <c r="A69" s="14">
        <v>46173</v>
      </c>
      <c r="B69" s="15">
        <v>3</v>
      </c>
      <c r="C69" s="4" t="s">
        <v>75</v>
      </c>
      <c r="D69" s="5" t="s">
        <v>76</v>
      </c>
      <c r="E69" s="5" t="s">
        <v>218</v>
      </c>
      <c r="F69" s="10"/>
      <c r="G69" s="10">
        <v>95166957</v>
      </c>
      <c r="H69" s="10">
        <f t="shared" si="2"/>
        <v>-95166957</v>
      </c>
      <c r="I69" s="15" t="s">
        <v>12</v>
      </c>
      <c r="J69" s="16"/>
    </row>
    <row r="70" spans="1:10" s="17" customFormat="1" x14ac:dyDescent="0.4">
      <c r="A70" s="14"/>
      <c r="B70" s="15"/>
      <c r="C70" s="4"/>
      <c r="D70" s="5"/>
      <c r="E70" s="5"/>
      <c r="F70" s="10"/>
      <c r="G70" s="10"/>
      <c r="H70" s="10"/>
      <c r="I70" s="15"/>
      <c r="J70" s="16"/>
    </row>
    <row r="71" spans="1:10" s="17" customFormat="1" x14ac:dyDescent="0.4">
      <c r="A71" s="14">
        <v>46153</v>
      </c>
      <c r="B71" s="15">
        <v>4</v>
      </c>
      <c r="C71" s="4" t="s">
        <v>71</v>
      </c>
      <c r="D71" s="5" t="s">
        <v>72</v>
      </c>
      <c r="E71" s="5" t="s">
        <v>180</v>
      </c>
      <c r="F71" s="10">
        <v>2189160</v>
      </c>
      <c r="G71" s="10"/>
      <c r="H71" s="10">
        <f t="shared" ref="H71:H83" si="3">F71-G71</f>
        <v>2189160</v>
      </c>
      <c r="I71" s="15" t="s">
        <v>15</v>
      </c>
      <c r="J71" s="16"/>
    </row>
    <row r="72" spans="1:10" s="17" customFormat="1" x14ac:dyDescent="0.4">
      <c r="A72" s="14">
        <v>46153</v>
      </c>
      <c r="B72" s="15">
        <v>4</v>
      </c>
      <c r="C72" s="4" t="s">
        <v>55</v>
      </c>
      <c r="D72" s="5" t="s">
        <v>56</v>
      </c>
      <c r="E72" s="5" t="s">
        <v>180</v>
      </c>
      <c r="F72" s="10"/>
      <c r="G72" s="10">
        <v>2189160</v>
      </c>
      <c r="H72" s="10">
        <f t="shared" si="3"/>
        <v>-2189160</v>
      </c>
      <c r="I72" s="15" t="s">
        <v>15</v>
      </c>
      <c r="J72" s="16"/>
    </row>
    <row r="73" spans="1:10" s="17" customFormat="1" x14ac:dyDescent="0.4">
      <c r="A73" s="14">
        <v>46160</v>
      </c>
      <c r="B73" s="15">
        <v>4</v>
      </c>
      <c r="C73" s="4" t="s">
        <v>79</v>
      </c>
      <c r="D73" s="5" t="s">
        <v>80</v>
      </c>
      <c r="E73" s="5" t="s">
        <v>18</v>
      </c>
      <c r="F73" s="10">
        <v>4900</v>
      </c>
      <c r="G73" s="10"/>
      <c r="H73" s="10">
        <f t="shared" si="3"/>
        <v>4900</v>
      </c>
      <c r="I73" s="15" t="s">
        <v>19</v>
      </c>
      <c r="J73" s="16"/>
    </row>
    <row r="74" spans="1:10" s="17" customFormat="1" x14ac:dyDescent="0.4">
      <c r="A74" s="14">
        <v>46160</v>
      </c>
      <c r="B74" s="15">
        <v>4</v>
      </c>
      <c r="C74" s="4" t="s">
        <v>75</v>
      </c>
      <c r="D74" s="5" t="s">
        <v>76</v>
      </c>
      <c r="E74" s="5" t="s">
        <v>18</v>
      </c>
      <c r="F74" s="10">
        <v>490</v>
      </c>
      <c r="G74" s="10"/>
      <c r="H74" s="10">
        <f t="shared" si="3"/>
        <v>490</v>
      </c>
      <c r="I74" s="15" t="s">
        <v>15</v>
      </c>
      <c r="J74" s="16"/>
    </row>
    <row r="75" spans="1:10" s="17" customFormat="1" x14ac:dyDescent="0.4">
      <c r="A75" s="14">
        <v>46160</v>
      </c>
      <c r="B75" s="15">
        <v>4</v>
      </c>
      <c r="C75" s="4" t="s">
        <v>45</v>
      </c>
      <c r="D75" s="5" t="s">
        <v>46</v>
      </c>
      <c r="E75" s="5" t="s">
        <v>18</v>
      </c>
      <c r="F75" s="10"/>
      <c r="G75" s="10">
        <v>5390</v>
      </c>
      <c r="H75" s="10">
        <f t="shared" si="3"/>
        <v>-5390</v>
      </c>
      <c r="I75" s="15" t="s">
        <v>15</v>
      </c>
      <c r="J75" s="16"/>
    </row>
    <row r="76" spans="1:10" s="17" customFormat="1" x14ac:dyDescent="0.4">
      <c r="A76" s="14">
        <v>46163</v>
      </c>
      <c r="B76" s="15">
        <v>4</v>
      </c>
      <c r="C76" s="4" t="s">
        <v>86</v>
      </c>
      <c r="D76" s="5" t="s">
        <v>87</v>
      </c>
      <c r="E76" s="5" t="s">
        <v>196</v>
      </c>
      <c r="F76" s="10">
        <v>1180000</v>
      </c>
      <c r="G76" s="10"/>
      <c r="H76" s="10">
        <f t="shared" si="3"/>
        <v>1180000</v>
      </c>
      <c r="I76" s="15" t="s">
        <v>30</v>
      </c>
      <c r="J76" s="16"/>
    </row>
    <row r="77" spans="1:10" s="17" customFormat="1" x14ac:dyDescent="0.4">
      <c r="A77" s="14">
        <v>46163</v>
      </c>
      <c r="B77" s="15">
        <v>4</v>
      </c>
      <c r="C77" s="4" t="s">
        <v>55</v>
      </c>
      <c r="D77" s="5" t="s">
        <v>56</v>
      </c>
      <c r="E77" s="5" t="s">
        <v>196</v>
      </c>
      <c r="F77" s="10"/>
      <c r="G77" s="10">
        <v>1180000</v>
      </c>
      <c r="H77" s="10">
        <f t="shared" si="3"/>
        <v>-1180000</v>
      </c>
      <c r="I77" s="15" t="s">
        <v>30</v>
      </c>
      <c r="J77" s="16"/>
    </row>
    <row r="78" spans="1:10" s="17" customFormat="1" x14ac:dyDescent="0.4">
      <c r="A78" s="14">
        <v>46164</v>
      </c>
      <c r="B78" s="15">
        <v>4</v>
      </c>
      <c r="C78" s="4" t="s">
        <v>96</v>
      </c>
      <c r="D78" s="5" t="s">
        <v>97</v>
      </c>
      <c r="E78" s="5" t="s">
        <v>24</v>
      </c>
      <c r="F78" s="10">
        <v>80000</v>
      </c>
      <c r="G78" s="10"/>
      <c r="H78" s="10">
        <f t="shared" si="3"/>
        <v>80000</v>
      </c>
      <c r="I78" s="15" t="s">
        <v>15</v>
      </c>
      <c r="J78" s="16"/>
    </row>
    <row r="79" spans="1:10" s="17" customFormat="1" x14ac:dyDescent="0.4">
      <c r="A79" s="14">
        <v>46164</v>
      </c>
      <c r="B79" s="15">
        <v>4</v>
      </c>
      <c r="C79" s="4" t="s">
        <v>90</v>
      </c>
      <c r="D79" s="5" t="s">
        <v>91</v>
      </c>
      <c r="E79" s="5" t="s">
        <v>24</v>
      </c>
      <c r="F79" s="10">
        <v>52712</v>
      </c>
      <c r="G79" s="10"/>
      <c r="H79" s="10">
        <f t="shared" si="3"/>
        <v>52712</v>
      </c>
      <c r="I79" s="15" t="s">
        <v>15</v>
      </c>
      <c r="J79" s="16"/>
    </row>
    <row r="80" spans="1:10" s="17" customFormat="1" x14ac:dyDescent="0.4">
      <c r="A80" s="14">
        <v>46164</v>
      </c>
      <c r="B80" s="15">
        <v>4</v>
      </c>
      <c r="C80" s="4" t="s">
        <v>55</v>
      </c>
      <c r="D80" s="5" t="s">
        <v>56</v>
      </c>
      <c r="E80" s="5" t="s">
        <v>24</v>
      </c>
      <c r="F80" s="10"/>
      <c r="G80" s="10">
        <v>132712</v>
      </c>
      <c r="H80" s="10">
        <f t="shared" si="3"/>
        <v>-132712</v>
      </c>
      <c r="I80" s="15" t="s">
        <v>15</v>
      </c>
      <c r="J80" s="16"/>
    </row>
    <row r="81" spans="1:10" s="17" customFormat="1" x14ac:dyDescent="0.4">
      <c r="A81" s="14">
        <v>46173</v>
      </c>
      <c r="B81" s="15">
        <v>4</v>
      </c>
      <c r="C81" s="4" t="s">
        <v>77</v>
      </c>
      <c r="D81" s="5" t="s">
        <v>78</v>
      </c>
      <c r="E81" s="5" t="s">
        <v>219</v>
      </c>
      <c r="F81" s="10">
        <v>140702655</v>
      </c>
      <c r="G81" s="10"/>
      <c r="H81" s="10">
        <f t="shared" si="3"/>
        <v>140702655</v>
      </c>
      <c r="I81" s="15" t="s">
        <v>35</v>
      </c>
      <c r="J81" s="16"/>
    </row>
    <row r="82" spans="1:10" s="17" customFormat="1" x14ac:dyDescent="0.4">
      <c r="A82" s="14">
        <v>46173</v>
      </c>
      <c r="B82" s="15">
        <v>4</v>
      </c>
      <c r="C82" s="4" t="s">
        <v>41</v>
      </c>
      <c r="D82" s="5" t="s">
        <v>42</v>
      </c>
      <c r="E82" s="5" t="s">
        <v>219</v>
      </c>
      <c r="F82" s="10"/>
      <c r="G82" s="10">
        <v>127911505</v>
      </c>
      <c r="H82" s="10">
        <f t="shared" si="3"/>
        <v>-127911505</v>
      </c>
      <c r="I82" s="15" t="s">
        <v>35</v>
      </c>
      <c r="J82" s="16"/>
    </row>
    <row r="83" spans="1:10" s="17" customFormat="1" x14ac:dyDescent="0.4">
      <c r="A83" s="14">
        <v>46173</v>
      </c>
      <c r="B83" s="15">
        <v>4</v>
      </c>
      <c r="C83" s="4" t="s">
        <v>75</v>
      </c>
      <c r="D83" s="5" t="s">
        <v>76</v>
      </c>
      <c r="E83" s="5" t="s">
        <v>219</v>
      </c>
      <c r="F83" s="10"/>
      <c r="G83" s="10">
        <v>12791150</v>
      </c>
      <c r="H83" s="10">
        <f t="shared" si="3"/>
        <v>-12791150</v>
      </c>
      <c r="I83" s="15" t="s">
        <v>35</v>
      </c>
      <c r="J83" s="16"/>
    </row>
    <row r="84" spans="1:10" s="17" customFormat="1" x14ac:dyDescent="0.4">
      <c r="A84" s="14"/>
      <c r="B84" s="15"/>
      <c r="C84" s="4"/>
      <c r="D84" s="5"/>
      <c r="E84" s="5"/>
      <c r="F84" s="10"/>
      <c r="G84" s="10"/>
      <c r="H84" s="10"/>
      <c r="I84" s="15"/>
      <c r="J84" s="16"/>
    </row>
    <row r="85" spans="1:10" s="17" customFormat="1" x14ac:dyDescent="0.4">
      <c r="A85" s="14">
        <v>46153</v>
      </c>
      <c r="B85" s="15">
        <v>5</v>
      </c>
      <c r="C85" s="4" t="s">
        <v>73</v>
      </c>
      <c r="D85" s="5" t="s">
        <v>74</v>
      </c>
      <c r="E85" s="5" t="s">
        <v>181</v>
      </c>
      <c r="F85" s="10">
        <v>176000</v>
      </c>
      <c r="G85" s="10"/>
      <c r="H85" s="10">
        <f t="shared" ref="H85:H95" si="4">F85-G85</f>
        <v>176000</v>
      </c>
      <c r="I85" s="15" t="s">
        <v>15</v>
      </c>
      <c r="J85" s="16"/>
    </row>
    <row r="86" spans="1:10" s="17" customFormat="1" x14ac:dyDescent="0.4">
      <c r="A86" s="14">
        <v>46153</v>
      </c>
      <c r="B86" s="15">
        <v>5</v>
      </c>
      <c r="C86" s="4" t="s">
        <v>55</v>
      </c>
      <c r="D86" s="5" t="s">
        <v>56</v>
      </c>
      <c r="E86" s="5" t="s">
        <v>181</v>
      </c>
      <c r="F86" s="10"/>
      <c r="G86" s="10">
        <v>176000</v>
      </c>
      <c r="H86" s="10">
        <f t="shared" si="4"/>
        <v>-176000</v>
      </c>
      <c r="I86" s="15" t="s">
        <v>15</v>
      </c>
      <c r="J86" s="16"/>
    </row>
    <row r="87" spans="1:10" s="17" customFormat="1" x14ac:dyDescent="0.4">
      <c r="A87" s="14">
        <v>46161</v>
      </c>
      <c r="B87" s="15">
        <v>5</v>
      </c>
      <c r="C87" s="4" t="s">
        <v>160</v>
      </c>
      <c r="D87" s="5" t="s">
        <v>164</v>
      </c>
      <c r="E87" s="5" t="s">
        <v>195</v>
      </c>
      <c r="F87" s="10">
        <v>102600</v>
      </c>
      <c r="G87" s="10"/>
      <c r="H87" s="10">
        <f t="shared" si="4"/>
        <v>102600</v>
      </c>
      <c r="I87" s="15" t="s">
        <v>15</v>
      </c>
      <c r="J87" s="16"/>
    </row>
    <row r="88" spans="1:10" s="17" customFormat="1" x14ac:dyDescent="0.4">
      <c r="A88" s="14">
        <v>46161</v>
      </c>
      <c r="B88" s="15">
        <v>5</v>
      </c>
      <c r="C88" s="4" t="s">
        <v>45</v>
      </c>
      <c r="D88" s="5" t="s">
        <v>46</v>
      </c>
      <c r="E88" s="5" t="s">
        <v>195</v>
      </c>
      <c r="F88" s="10"/>
      <c r="G88" s="10">
        <v>102600</v>
      </c>
      <c r="H88" s="10">
        <f t="shared" si="4"/>
        <v>-102600</v>
      </c>
      <c r="I88" s="15" t="s">
        <v>15</v>
      </c>
      <c r="J88" s="16"/>
    </row>
    <row r="89" spans="1:10" s="17" customFormat="1" x14ac:dyDescent="0.4">
      <c r="A89" s="14">
        <v>46164</v>
      </c>
      <c r="B89" s="15">
        <v>5</v>
      </c>
      <c r="C89" s="4" t="s">
        <v>96</v>
      </c>
      <c r="D89" s="5" t="s">
        <v>97</v>
      </c>
      <c r="E89" s="5" t="s">
        <v>25</v>
      </c>
      <c r="F89" s="10">
        <v>80000</v>
      </c>
      <c r="G89" s="10"/>
      <c r="H89" s="10">
        <f t="shared" si="4"/>
        <v>80000</v>
      </c>
      <c r="I89" s="15" t="s">
        <v>15</v>
      </c>
      <c r="J89" s="16"/>
    </row>
    <row r="90" spans="1:10" s="17" customFormat="1" x14ac:dyDescent="0.4">
      <c r="A90" s="14">
        <v>46164</v>
      </c>
      <c r="B90" s="15">
        <v>5</v>
      </c>
      <c r="C90" s="4" t="s">
        <v>90</v>
      </c>
      <c r="D90" s="5" t="s">
        <v>91</v>
      </c>
      <c r="E90" s="5" t="s">
        <v>25</v>
      </c>
      <c r="F90" s="10">
        <v>52712</v>
      </c>
      <c r="G90" s="10"/>
      <c r="H90" s="10">
        <f t="shared" si="4"/>
        <v>52712</v>
      </c>
      <c r="I90" s="15" t="s">
        <v>15</v>
      </c>
      <c r="J90" s="16"/>
    </row>
    <row r="91" spans="1:10" s="17" customFormat="1" x14ac:dyDescent="0.4">
      <c r="A91" s="14">
        <v>46164</v>
      </c>
      <c r="B91" s="15">
        <v>5</v>
      </c>
      <c r="C91" s="4" t="s">
        <v>160</v>
      </c>
      <c r="D91" s="5" t="s">
        <v>164</v>
      </c>
      <c r="E91" s="5" t="s">
        <v>25</v>
      </c>
      <c r="F91" s="10">
        <v>134900</v>
      </c>
      <c r="G91" s="10"/>
      <c r="H91" s="10">
        <f t="shared" si="4"/>
        <v>134900</v>
      </c>
      <c r="I91" s="15" t="s">
        <v>15</v>
      </c>
      <c r="J91" s="16"/>
    </row>
    <row r="92" spans="1:10" s="17" customFormat="1" x14ac:dyDescent="0.4">
      <c r="A92" s="14">
        <v>46164</v>
      </c>
      <c r="B92" s="15">
        <v>5</v>
      </c>
      <c r="C92" s="4" t="s">
        <v>55</v>
      </c>
      <c r="D92" s="5" t="s">
        <v>56</v>
      </c>
      <c r="E92" s="5" t="s">
        <v>25</v>
      </c>
      <c r="F92" s="10"/>
      <c r="G92" s="10">
        <v>267612</v>
      </c>
      <c r="H92" s="10">
        <f t="shared" si="4"/>
        <v>-267612</v>
      </c>
      <c r="I92" s="15" t="s">
        <v>15</v>
      </c>
      <c r="J92" s="16"/>
    </row>
    <row r="93" spans="1:10" s="17" customFormat="1" x14ac:dyDescent="0.4">
      <c r="A93" s="14">
        <v>46173</v>
      </c>
      <c r="B93" s="15">
        <v>5</v>
      </c>
      <c r="C93" s="4" t="s">
        <v>39</v>
      </c>
      <c r="D93" s="5" t="s">
        <v>40</v>
      </c>
      <c r="E93" s="5" t="s">
        <v>220</v>
      </c>
      <c r="F93" s="10">
        <v>27680994</v>
      </c>
      <c r="G93" s="10"/>
      <c r="H93" s="10">
        <f t="shared" si="4"/>
        <v>27680994</v>
      </c>
      <c r="I93" s="15" t="s">
        <v>34</v>
      </c>
      <c r="J93" s="16"/>
    </row>
    <row r="94" spans="1:10" s="17" customFormat="1" x14ac:dyDescent="0.4">
      <c r="A94" s="14">
        <v>46173</v>
      </c>
      <c r="B94" s="15">
        <v>5</v>
      </c>
      <c r="C94" s="4" t="s">
        <v>41</v>
      </c>
      <c r="D94" s="5" t="s">
        <v>42</v>
      </c>
      <c r="E94" s="5" t="s">
        <v>220</v>
      </c>
      <c r="F94" s="10"/>
      <c r="G94" s="10">
        <v>25164540</v>
      </c>
      <c r="H94" s="10">
        <f t="shared" si="4"/>
        <v>-25164540</v>
      </c>
      <c r="I94" s="15" t="s">
        <v>34</v>
      </c>
      <c r="J94" s="16"/>
    </row>
    <row r="95" spans="1:10" s="17" customFormat="1" x14ac:dyDescent="0.4">
      <c r="A95" s="14">
        <v>46173</v>
      </c>
      <c r="B95" s="15">
        <v>5</v>
      </c>
      <c r="C95" s="4" t="s">
        <v>75</v>
      </c>
      <c r="D95" s="5" t="s">
        <v>76</v>
      </c>
      <c r="E95" s="5" t="s">
        <v>220</v>
      </c>
      <c r="F95" s="10"/>
      <c r="G95" s="10">
        <v>2516454</v>
      </c>
      <c r="H95" s="10">
        <f t="shared" si="4"/>
        <v>-2516454</v>
      </c>
      <c r="I95" s="15" t="s">
        <v>34</v>
      </c>
      <c r="J95" s="16"/>
    </row>
    <row r="96" spans="1:10" s="17" customFormat="1" x14ac:dyDescent="0.4">
      <c r="A96" s="14"/>
      <c r="B96" s="15"/>
      <c r="C96" s="4"/>
      <c r="D96" s="5"/>
      <c r="E96" s="5"/>
      <c r="F96" s="10"/>
      <c r="G96" s="10"/>
      <c r="H96" s="10"/>
      <c r="I96" s="15"/>
      <c r="J96" s="16"/>
    </row>
    <row r="97" spans="1:10" s="17" customFormat="1" x14ac:dyDescent="0.4">
      <c r="A97" s="14">
        <v>46153</v>
      </c>
      <c r="B97" s="15">
        <v>6</v>
      </c>
      <c r="C97" s="4" t="s">
        <v>57</v>
      </c>
      <c r="D97" s="5" t="s">
        <v>58</v>
      </c>
      <c r="E97" s="5" t="s">
        <v>182</v>
      </c>
      <c r="F97" s="10">
        <v>550896000</v>
      </c>
      <c r="G97" s="10"/>
      <c r="H97" s="10">
        <f t="shared" ref="H97:H110" si="5">F97-G97</f>
        <v>550896000</v>
      </c>
      <c r="I97" s="15" t="s">
        <v>20</v>
      </c>
      <c r="J97" s="16"/>
    </row>
    <row r="98" spans="1:10" s="17" customFormat="1" x14ac:dyDescent="0.4">
      <c r="A98" s="14">
        <v>46153</v>
      </c>
      <c r="B98" s="15">
        <v>6</v>
      </c>
      <c r="C98" s="4" t="s">
        <v>55</v>
      </c>
      <c r="D98" s="5" t="s">
        <v>56</v>
      </c>
      <c r="E98" s="5" t="s">
        <v>182</v>
      </c>
      <c r="F98" s="10"/>
      <c r="G98" s="10">
        <v>550896000</v>
      </c>
      <c r="H98" s="10">
        <f t="shared" si="5"/>
        <v>-550896000</v>
      </c>
      <c r="I98" s="15" t="s">
        <v>20</v>
      </c>
      <c r="J98" s="16"/>
    </row>
    <row r="99" spans="1:10" s="17" customFormat="1" x14ac:dyDescent="0.4">
      <c r="A99" s="14">
        <v>46164</v>
      </c>
      <c r="B99" s="15">
        <v>6</v>
      </c>
      <c r="C99" s="4" t="s">
        <v>98</v>
      </c>
      <c r="D99" s="5" t="s">
        <v>99</v>
      </c>
      <c r="E99" s="5" t="s">
        <v>36</v>
      </c>
      <c r="F99" s="10">
        <v>32000</v>
      </c>
      <c r="G99" s="10"/>
      <c r="H99" s="10">
        <f t="shared" si="5"/>
        <v>32000</v>
      </c>
      <c r="I99" s="15" t="s">
        <v>15</v>
      </c>
      <c r="J99" s="16"/>
    </row>
    <row r="100" spans="1:10" s="17" customFormat="1" x14ac:dyDescent="0.4">
      <c r="A100" s="14">
        <v>46164</v>
      </c>
      <c r="B100" s="15">
        <v>6</v>
      </c>
      <c r="C100" s="4" t="s">
        <v>104</v>
      </c>
      <c r="D100" s="5" t="s">
        <v>105</v>
      </c>
      <c r="E100" s="5" t="s">
        <v>36</v>
      </c>
      <c r="F100" s="10">
        <v>220000</v>
      </c>
      <c r="G100" s="10"/>
      <c r="H100" s="10">
        <f t="shared" si="5"/>
        <v>220000</v>
      </c>
      <c r="I100" s="15" t="s">
        <v>15</v>
      </c>
      <c r="J100" s="16"/>
    </row>
    <row r="101" spans="1:10" s="17" customFormat="1" x14ac:dyDescent="0.4">
      <c r="A101" s="14">
        <v>46164</v>
      </c>
      <c r="B101" s="15">
        <v>6</v>
      </c>
      <c r="C101" s="4" t="s">
        <v>100</v>
      </c>
      <c r="D101" s="5" t="s">
        <v>101</v>
      </c>
      <c r="E101" s="5" t="s">
        <v>36</v>
      </c>
      <c r="F101" s="10">
        <v>163500</v>
      </c>
      <c r="G101" s="10"/>
      <c r="H101" s="10">
        <f t="shared" si="5"/>
        <v>163500</v>
      </c>
      <c r="I101" s="15" t="s">
        <v>15</v>
      </c>
      <c r="J101" s="16"/>
    </row>
    <row r="102" spans="1:10" s="17" customFormat="1" x14ac:dyDescent="0.4">
      <c r="A102" s="14">
        <v>46164</v>
      </c>
      <c r="B102" s="15">
        <v>6</v>
      </c>
      <c r="C102" s="4" t="s">
        <v>102</v>
      </c>
      <c r="D102" s="5" t="s">
        <v>103</v>
      </c>
      <c r="E102" s="5" t="s">
        <v>36</v>
      </c>
      <c r="F102" s="10">
        <v>347454</v>
      </c>
      <c r="G102" s="10"/>
      <c r="H102" s="10">
        <f t="shared" si="5"/>
        <v>347454</v>
      </c>
      <c r="I102" s="15" t="s">
        <v>15</v>
      </c>
      <c r="J102" s="16"/>
    </row>
    <row r="103" spans="1:10" s="17" customFormat="1" x14ac:dyDescent="0.4">
      <c r="A103" s="14">
        <v>46164</v>
      </c>
      <c r="B103" s="15">
        <v>6</v>
      </c>
      <c r="C103" s="4" t="s">
        <v>96</v>
      </c>
      <c r="D103" s="5" t="s">
        <v>97</v>
      </c>
      <c r="E103" s="5" t="s">
        <v>36</v>
      </c>
      <c r="F103" s="10">
        <v>80000</v>
      </c>
      <c r="G103" s="10"/>
      <c r="H103" s="10">
        <f t="shared" si="5"/>
        <v>80000</v>
      </c>
      <c r="I103" s="15" t="s">
        <v>15</v>
      </c>
      <c r="J103" s="16"/>
    </row>
    <row r="104" spans="1:10" s="17" customFormat="1" x14ac:dyDescent="0.4">
      <c r="A104" s="14">
        <v>46164</v>
      </c>
      <c r="B104" s="15">
        <v>6</v>
      </c>
      <c r="C104" s="4" t="s">
        <v>90</v>
      </c>
      <c r="D104" s="5" t="s">
        <v>91</v>
      </c>
      <c r="E104" s="5" t="s">
        <v>36</v>
      </c>
      <c r="F104" s="10">
        <v>52712</v>
      </c>
      <c r="G104" s="10"/>
      <c r="H104" s="10">
        <f t="shared" si="5"/>
        <v>52712</v>
      </c>
      <c r="I104" s="15" t="s">
        <v>15</v>
      </c>
      <c r="J104" s="16"/>
    </row>
    <row r="105" spans="1:10" s="17" customFormat="1" x14ac:dyDescent="0.4">
      <c r="A105" s="14">
        <v>46164</v>
      </c>
      <c r="B105" s="15">
        <v>6</v>
      </c>
      <c r="C105" s="4" t="s">
        <v>106</v>
      </c>
      <c r="D105" s="5" t="s">
        <v>107</v>
      </c>
      <c r="E105" s="5" t="s">
        <v>36</v>
      </c>
      <c r="F105" s="10">
        <v>39000</v>
      </c>
      <c r="G105" s="10"/>
      <c r="H105" s="10">
        <f t="shared" si="5"/>
        <v>39000</v>
      </c>
      <c r="I105" s="15" t="s">
        <v>15</v>
      </c>
      <c r="J105" s="16"/>
    </row>
    <row r="106" spans="1:10" s="17" customFormat="1" x14ac:dyDescent="0.4">
      <c r="A106" s="14">
        <v>46164</v>
      </c>
      <c r="B106" s="15">
        <v>6</v>
      </c>
      <c r="C106" s="4" t="s">
        <v>43</v>
      </c>
      <c r="D106" s="5" t="s">
        <v>44</v>
      </c>
      <c r="E106" s="5" t="s">
        <v>36</v>
      </c>
      <c r="F106" s="10">
        <v>11000</v>
      </c>
      <c r="G106" s="10"/>
      <c r="H106" s="10">
        <f t="shared" si="5"/>
        <v>11000</v>
      </c>
      <c r="I106" s="15" t="s">
        <v>15</v>
      </c>
      <c r="J106" s="16"/>
    </row>
    <row r="107" spans="1:10" s="17" customFormat="1" x14ac:dyDescent="0.4">
      <c r="A107" s="14">
        <v>46164</v>
      </c>
      <c r="B107" s="15">
        <v>6</v>
      </c>
      <c r="C107" s="4" t="s">
        <v>55</v>
      </c>
      <c r="D107" s="5" t="s">
        <v>56</v>
      </c>
      <c r="E107" s="5" t="s">
        <v>36</v>
      </c>
      <c r="F107" s="10"/>
      <c r="G107" s="10">
        <v>945666</v>
      </c>
      <c r="H107" s="10">
        <f t="shared" si="5"/>
        <v>-945666</v>
      </c>
      <c r="I107" s="15" t="s">
        <v>15</v>
      </c>
      <c r="J107" s="16"/>
    </row>
    <row r="108" spans="1:10" s="17" customFormat="1" x14ac:dyDescent="0.4">
      <c r="A108" s="14">
        <v>46173</v>
      </c>
      <c r="B108" s="15">
        <v>6</v>
      </c>
      <c r="C108" s="4" t="s">
        <v>39</v>
      </c>
      <c r="D108" s="5" t="s">
        <v>40</v>
      </c>
      <c r="E108" s="5" t="s">
        <v>220</v>
      </c>
      <c r="F108" s="10">
        <v>1436760</v>
      </c>
      <c r="G108" s="10"/>
      <c r="H108" s="10">
        <f t="shared" si="5"/>
        <v>1436760</v>
      </c>
      <c r="I108" s="15" t="s">
        <v>34</v>
      </c>
      <c r="J108" s="16"/>
    </row>
    <row r="109" spans="1:10" s="17" customFormat="1" x14ac:dyDescent="0.4">
      <c r="A109" s="14">
        <v>46173</v>
      </c>
      <c r="B109" s="15">
        <v>6</v>
      </c>
      <c r="C109" s="4" t="s">
        <v>41</v>
      </c>
      <c r="D109" s="5" t="s">
        <v>42</v>
      </c>
      <c r="E109" s="5" t="s">
        <v>220</v>
      </c>
      <c r="F109" s="10"/>
      <c r="G109" s="10">
        <v>1306146</v>
      </c>
      <c r="H109" s="10">
        <f t="shared" si="5"/>
        <v>-1306146</v>
      </c>
      <c r="I109" s="15" t="s">
        <v>34</v>
      </c>
      <c r="J109" s="16"/>
    </row>
    <row r="110" spans="1:10" s="17" customFormat="1" x14ac:dyDescent="0.4">
      <c r="A110" s="14">
        <v>46173</v>
      </c>
      <c r="B110" s="15">
        <v>6</v>
      </c>
      <c r="C110" s="4" t="s">
        <v>75</v>
      </c>
      <c r="D110" s="5" t="s">
        <v>76</v>
      </c>
      <c r="E110" s="5" t="s">
        <v>220</v>
      </c>
      <c r="F110" s="10"/>
      <c r="G110" s="10">
        <v>130614</v>
      </c>
      <c r="H110" s="10">
        <f t="shared" si="5"/>
        <v>-130614</v>
      </c>
      <c r="I110" s="15" t="s">
        <v>34</v>
      </c>
      <c r="J110" s="16"/>
    </row>
    <row r="111" spans="1:10" s="17" customFormat="1" x14ac:dyDescent="0.4">
      <c r="A111" s="14"/>
      <c r="B111" s="15"/>
      <c r="C111" s="4"/>
      <c r="D111" s="5"/>
      <c r="E111" s="5"/>
      <c r="F111" s="10"/>
      <c r="G111" s="10"/>
      <c r="H111" s="10"/>
      <c r="I111" s="15"/>
      <c r="J111" s="16"/>
    </row>
    <row r="112" spans="1:10" s="17" customFormat="1" x14ac:dyDescent="0.4">
      <c r="A112" s="14">
        <v>46153</v>
      </c>
      <c r="B112" s="15">
        <v>7</v>
      </c>
      <c r="C112" s="4" t="s">
        <v>57</v>
      </c>
      <c r="D112" s="5" t="s">
        <v>58</v>
      </c>
      <c r="E112" s="5" t="s">
        <v>183</v>
      </c>
      <c r="F112" s="10">
        <v>28482847</v>
      </c>
      <c r="G112" s="10"/>
      <c r="H112" s="10">
        <f t="shared" ref="H112:H117" si="6">F112-G112</f>
        <v>28482847</v>
      </c>
      <c r="I112" s="15" t="s">
        <v>20</v>
      </c>
      <c r="J112" s="16"/>
    </row>
    <row r="113" spans="1:10" s="17" customFormat="1" x14ac:dyDescent="0.4">
      <c r="A113" s="14">
        <v>46153</v>
      </c>
      <c r="B113" s="15">
        <v>7</v>
      </c>
      <c r="C113" s="4" t="s">
        <v>59</v>
      </c>
      <c r="D113" s="5" t="s">
        <v>60</v>
      </c>
      <c r="E113" s="5" t="s">
        <v>183</v>
      </c>
      <c r="F113" s="10"/>
      <c r="G113" s="10">
        <v>2819351</v>
      </c>
      <c r="H113" s="10">
        <f t="shared" si="6"/>
        <v>-2819351</v>
      </c>
      <c r="I113" s="15" t="s">
        <v>20</v>
      </c>
      <c r="J113" s="16"/>
    </row>
    <row r="114" spans="1:10" s="17" customFormat="1" x14ac:dyDescent="0.4">
      <c r="A114" s="14">
        <v>46153</v>
      </c>
      <c r="B114" s="15">
        <v>7</v>
      </c>
      <c r="C114" s="4" t="s">
        <v>55</v>
      </c>
      <c r="D114" s="5" t="s">
        <v>56</v>
      </c>
      <c r="E114" s="5" t="s">
        <v>183</v>
      </c>
      <c r="F114" s="10"/>
      <c r="G114" s="10">
        <v>25663496</v>
      </c>
      <c r="H114" s="10">
        <f t="shared" si="6"/>
        <v>-25663496</v>
      </c>
      <c r="I114" s="15" t="s">
        <v>20</v>
      </c>
      <c r="J114" s="16"/>
    </row>
    <row r="115" spans="1:10" s="17" customFormat="1" x14ac:dyDescent="0.4">
      <c r="A115" s="14">
        <v>46173</v>
      </c>
      <c r="B115" s="15">
        <v>7</v>
      </c>
      <c r="C115" s="4" t="s">
        <v>118</v>
      </c>
      <c r="D115" s="5" t="s">
        <v>119</v>
      </c>
      <c r="E115" s="5" t="s">
        <v>221</v>
      </c>
      <c r="F115" s="10">
        <v>34373914</v>
      </c>
      <c r="G115" s="10"/>
      <c r="H115" s="10">
        <f t="shared" si="6"/>
        <v>34373914</v>
      </c>
      <c r="I115" s="15" t="s">
        <v>20</v>
      </c>
      <c r="J115" s="16"/>
    </row>
    <row r="116" spans="1:10" s="17" customFormat="1" x14ac:dyDescent="0.4">
      <c r="A116" s="14">
        <v>46173</v>
      </c>
      <c r="B116" s="15">
        <v>7</v>
      </c>
      <c r="C116" s="4" t="s">
        <v>75</v>
      </c>
      <c r="D116" s="5" t="s">
        <v>76</v>
      </c>
      <c r="E116" s="5" t="s">
        <v>221</v>
      </c>
      <c r="F116" s="10">
        <v>3437391</v>
      </c>
      <c r="G116" s="10"/>
      <c r="H116" s="10">
        <f t="shared" si="6"/>
        <v>3437391</v>
      </c>
      <c r="I116" s="15" t="s">
        <v>20</v>
      </c>
      <c r="J116" s="16"/>
    </row>
    <row r="117" spans="1:10" s="17" customFormat="1" x14ac:dyDescent="0.4">
      <c r="A117" s="14">
        <v>46173</v>
      </c>
      <c r="B117" s="15">
        <v>7</v>
      </c>
      <c r="C117" s="4" t="s">
        <v>57</v>
      </c>
      <c r="D117" s="5" t="s">
        <v>58</v>
      </c>
      <c r="E117" s="5" t="s">
        <v>221</v>
      </c>
      <c r="F117" s="10"/>
      <c r="G117" s="10">
        <v>37811305</v>
      </c>
      <c r="H117" s="10">
        <f t="shared" si="6"/>
        <v>-37811305</v>
      </c>
      <c r="I117" s="15" t="s">
        <v>20</v>
      </c>
      <c r="J117" s="16"/>
    </row>
    <row r="118" spans="1:10" s="17" customFormat="1" x14ac:dyDescent="0.4">
      <c r="A118" s="14"/>
      <c r="B118" s="15"/>
      <c r="C118" s="4"/>
      <c r="D118" s="5"/>
      <c r="E118" s="5"/>
      <c r="F118" s="10"/>
      <c r="G118" s="10"/>
      <c r="H118" s="10"/>
      <c r="I118" s="15"/>
      <c r="J118" s="16"/>
    </row>
    <row r="119" spans="1:10" s="17" customFormat="1" x14ac:dyDescent="0.4">
      <c r="A119" s="14">
        <v>46153</v>
      </c>
      <c r="B119" s="15">
        <v>8</v>
      </c>
      <c r="C119" s="4" t="s">
        <v>57</v>
      </c>
      <c r="D119" s="5" t="s">
        <v>58</v>
      </c>
      <c r="E119" s="5" t="s">
        <v>184</v>
      </c>
      <c r="F119" s="10">
        <v>131279952</v>
      </c>
      <c r="G119" s="10"/>
      <c r="H119" s="10">
        <f t="shared" ref="H119:H126" si="7">F119-G119</f>
        <v>131279952</v>
      </c>
      <c r="I119" s="15" t="s">
        <v>20</v>
      </c>
      <c r="J119" s="16"/>
    </row>
    <row r="120" spans="1:10" s="17" customFormat="1" x14ac:dyDescent="0.4">
      <c r="A120" s="14">
        <v>46153</v>
      </c>
      <c r="B120" s="15">
        <v>8</v>
      </c>
      <c r="C120" s="4" t="s">
        <v>55</v>
      </c>
      <c r="D120" s="5" t="s">
        <v>56</v>
      </c>
      <c r="E120" s="5" t="s">
        <v>184</v>
      </c>
      <c r="F120" s="10"/>
      <c r="G120" s="10">
        <v>131279952</v>
      </c>
      <c r="H120" s="10">
        <f t="shared" si="7"/>
        <v>-131279952</v>
      </c>
      <c r="I120" s="15" t="s">
        <v>20</v>
      </c>
      <c r="J120" s="16"/>
    </row>
    <row r="121" spans="1:10" s="17" customFormat="1" x14ac:dyDescent="0.4">
      <c r="A121" s="14">
        <v>46164</v>
      </c>
      <c r="B121" s="15">
        <v>8</v>
      </c>
      <c r="C121" s="4" t="s">
        <v>90</v>
      </c>
      <c r="D121" s="5" t="s">
        <v>91</v>
      </c>
      <c r="E121" s="5" t="s">
        <v>21</v>
      </c>
      <c r="F121" s="10">
        <v>52712</v>
      </c>
      <c r="G121" s="10"/>
      <c r="H121" s="10">
        <f t="shared" si="7"/>
        <v>52712</v>
      </c>
      <c r="I121" s="15" t="s">
        <v>15</v>
      </c>
      <c r="J121" s="16"/>
    </row>
    <row r="122" spans="1:10" s="17" customFormat="1" x14ac:dyDescent="0.4">
      <c r="A122" s="14">
        <v>46164</v>
      </c>
      <c r="B122" s="15">
        <v>8</v>
      </c>
      <c r="C122" s="4" t="s">
        <v>94</v>
      </c>
      <c r="D122" s="5" t="s">
        <v>95</v>
      </c>
      <c r="E122" s="5" t="s">
        <v>21</v>
      </c>
      <c r="F122" s="10">
        <v>31000</v>
      </c>
      <c r="G122" s="10"/>
      <c r="H122" s="10">
        <f t="shared" si="7"/>
        <v>31000</v>
      </c>
      <c r="I122" s="15" t="s">
        <v>15</v>
      </c>
      <c r="J122" s="16"/>
    </row>
    <row r="123" spans="1:10" s="17" customFormat="1" x14ac:dyDescent="0.4">
      <c r="A123" s="14">
        <v>46164</v>
      </c>
      <c r="B123" s="15">
        <v>8</v>
      </c>
      <c r="C123" s="4" t="s">
        <v>55</v>
      </c>
      <c r="D123" s="5" t="s">
        <v>56</v>
      </c>
      <c r="E123" s="5" t="s">
        <v>21</v>
      </c>
      <c r="F123" s="10"/>
      <c r="G123" s="10">
        <v>83712</v>
      </c>
      <c r="H123" s="10">
        <f t="shared" si="7"/>
        <v>-83712</v>
      </c>
      <c r="I123" s="15" t="s">
        <v>15</v>
      </c>
      <c r="J123" s="16"/>
    </row>
    <row r="124" spans="1:10" s="17" customFormat="1" x14ac:dyDescent="0.4">
      <c r="A124" s="14">
        <v>46173</v>
      </c>
      <c r="B124" s="15">
        <v>8</v>
      </c>
      <c r="C124" s="4" t="s">
        <v>118</v>
      </c>
      <c r="D124" s="5" t="s">
        <v>119</v>
      </c>
      <c r="E124" s="5" t="s">
        <v>222</v>
      </c>
      <c r="F124" s="10">
        <v>34103611</v>
      </c>
      <c r="G124" s="10"/>
      <c r="H124" s="10">
        <f t="shared" si="7"/>
        <v>34103611</v>
      </c>
      <c r="I124" s="15" t="s">
        <v>20</v>
      </c>
      <c r="J124" s="16"/>
    </row>
    <row r="125" spans="1:10" s="17" customFormat="1" x14ac:dyDescent="0.4">
      <c r="A125" s="14">
        <v>46173</v>
      </c>
      <c r="B125" s="15">
        <v>8</v>
      </c>
      <c r="C125" s="4" t="s">
        <v>75</v>
      </c>
      <c r="D125" s="5" t="s">
        <v>76</v>
      </c>
      <c r="E125" s="5" t="s">
        <v>222</v>
      </c>
      <c r="F125" s="10">
        <v>3410361</v>
      </c>
      <c r="G125" s="10"/>
      <c r="H125" s="10">
        <f t="shared" si="7"/>
        <v>3410361</v>
      </c>
      <c r="I125" s="15" t="s">
        <v>20</v>
      </c>
      <c r="J125" s="16"/>
    </row>
    <row r="126" spans="1:10" s="17" customFormat="1" x14ac:dyDescent="0.4">
      <c r="A126" s="14">
        <v>46173</v>
      </c>
      <c r="B126" s="15">
        <v>8</v>
      </c>
      <c r="C126" s="4" t="s">
        <v>57</v>
      </c>
      <c r="D126" s="5" t="s">
        <v>58</v>
      </c>
      <c r="E126" s="5" t="s">
        <v>222</v>
      </c>
      <c r="F126" s="10"/>
      <c r="G126" s="10">
        <v>37513972</v>
      </c>
      <c r="H126" s="10">
        <f t="shared" si="7"/>
        <v>-37513972</v>
      </c>
      <c r="I126" s="15" t="s">
        <v>20</v>
      </c>
      <c r="J126" s="16"/>
    </row>
    <row r="127" spans="1:10" s="17" customFormat="1" x14ac:dyDescent="0.4">
      <c r="A127" s="14"/>
      <c r="B127" s="15"/>
      <c r="C127" s="4"/>
      <c r="D127" s="5"/>
      <c r="E127" s="5"/>
      <c r="F127" s="10"/>
      <c r="G127" s="10"/>
      <c r="H127" s="10"/>
      <c r="I127" s="15"/>
      <c r="J127" s="16"/>
    </row>
    <row r="128" spans="1:10" s="17" customFormat="1" x14ac:dyDescent="0.4">
      <c r="A128" s="14">
        <v>46153</v>
      </c>
      <c r="B128" s="15">
        <v>9</v>
      </c>
      <c r="C128" s="4" t="s">
        <v>57</v>
      </c>
      <c r="D128" s="5" t="s">
        <v>58</v>
      </c>
      <c r="E128" s="5" t="s">
        <v>185</v>
      </c>
      <c r="F128" s="10">
        <v>37811305</v>
      </c>
      <c r="G128" s="10"/>
      <c r="H128" s="10">
        <f t="shared" ref="H128:H139" si="8">F128-G128</f>
        <v>37811305</v>
      </c>
      <c r="I128" s="15" t="s">
        <v>20</v>
      </c>
      <c r="J128" s="16"/>
    </row>
    <row r="129" spans="1:10" s="17" customFormat="1" x14ac:dyDescent="0.4">
      <c r="A129" s="14">
        <v>46153</v>
      </c>
      <c r="B129" s="15">
        <v>9</v>
      </c>
      <c r="C129" s="4" t="s">
        <v>55</v>
      </c>
      <c r="D129" s="5" t="s">
        <v>56</v>
      </c>
      <c r="E129" s="5" t="s">
        <v>185</v>
      </c>
      <c r="F129" s="10"/>
      <c r="G129" s="10">
        <v>37811305</v>
      </c>
      <c r="H129" s="10">
        <f t="shared" si="8"/>
        <v>-37811305</v>
      </c>
      <c r="I129" s="15" t="s">
        <v>20</v>
      </c>
      <c r="J129" s="16"/>
    </row>
    <row r="130" spans="1:10" s="17" customFormat="1" x14ac:dyDescent="0.4">
      <c r="A130" s="14">
        <v>46164</v>
      </c>
      <c r="B130" s="15">
        <v>9</v>
      </c>
      <c r="C130" s="4" t="s">
        <v>98</v>
      </c>
      <c r="D130" s="5" t="s">
        <v>99</v>
      </c>
      <c r="E130" s="5" t="s">
        <v>26</v>
      </c>
      <c r="F130" s="10">
        <v>73988</v>
      </c>
      <c r="G130" s="10"/>
      <c r="H130" s="10">
        <f t="shared" si="8"/>
        <v>73988</v>
      </c>
      <c r="I130" s="15" t="s">
        <v>15</v>
      </c>
      <c r="J130" s="16"/>
    </row>
    <row r="131" spans="1:10" s="17" customFormat="1" x14ac:dyDescent="0.4">
      <c r="A131" s="14">
        <v>46164</v>
      </c>
      <c r="B131" s="15">
        <v>9</v>
      </c>
      <c r="C131" s="4" t="s">
        <v>104</v>
      </c>
      <c r="D131" s="5" t="s">
        <v>105</v>
      </c>
      <c r="E131" s="5" t="s">
        <v>26</v>
      </c>
      <c r="F131" s="10">
        <v>224814</v>
      </c>
      <c r="G131" s="10"/>
      <c r="H131" s="10">
        <f t="shared" si="8"/>
        <v>224814</v>
      </c>
      <c r="I131" s="15" t="s">
        <v>15</v>
      </c>
      <c r="J131" s="16"/>
    </row>
    <row r="132" spans="1:10" s="17" customFormat="1" x14ac:dyDescent="0.4">
      <c r="A132" s="14">
        <v>46164</v>
      </c>
      <c r="B132" s="15">
        <v>9</v>
      </c>
      <c r="C132" s="4" t="s">
        <v>100</v>
      </c>
      <c r="D132" s="5" t="s">
        <v>101</v>
      </c>
      <c r="E132" s="5" t="s">
        <v>26</v>
      </c>
      <c r="F132" s="10">
        <v>354162</v>
      </c>
      <c r="G132" s="10"/>
      <c r="H132" s="10">
        <f t="shared" si="8"/>
        <v>354162</v>
      </c>
      <c r="I132" s="15" t="s">
        <v>15</v>
      </c>
      <c r="J132" s="16"/>
    </row>
    <row r="133" spans="1:10" s="17" customFormat="1" x14ac:dyDescent="0.4">
      <c r="A133" s="14">
        <v>46164</v>
      </c>
      <c r="B133" s="15">
        <v>9</v>
      </c>
      <c r="C133" s="4" t="s">
        <v>161</v>
      </c>
      <c r="D133" s="5" t="s">
        <v>165</v>
      </c>
      <c r="E133" s="5" t="s">
        <v>26</v>
      </c>
      <c r="F133" s="10">
        <v>2775600</v>
      </c>
      <c r="G133" s="10"/>
      <c r="H133" s="10">
        <f t="shared" si="8"/>
        <v>2775600</v>
      </c>
      <c r="I133" s="15" t="s">
        <v>15</v>
      </c>
      <c r="J133" s="16"/>
    </row>
    <row r="134" spans="1:10" s="17" customFormat="1" x14ac:dyDescent="0.4">
      <c r="A134" s="14">
        <v>46164</v>
      </c>
      <c r="B134" s="15">
        <v>9</v>
      </c>
      <c r="C134" s="4" t="s">
        <v>102</v>
      </c>
      <c r="D134" s="5" t="s">
        <v>103</v>
      </c>
      <c r="E134" s="5" t="s">
        <v>26</v>
      </c>
      <c r="F134" s="10">
        <v>214920</v>
      </c>
      <c r="G134" s="10"/>
      <c r="H134" s="10">
        <f t="shared" si="8"/>
        <v>214920</v>
      </c>
      <c r="I134" s="15" t="s">
        <v>15</v>
      </c>
      <c r="J134" s="16"/>
    </row>
    <row r="135" spans="1:10" s="17" customFormat="1" x14ac:dyDescent="0.4">
      <c r="A135" s="14">
        <v>46164</v>
      </c>
      <c r="B135" s="15">
        <v>9</v>
      </c>
      <c r="C135" s="4" t="s">
        <v>106</v>
      </c>
      <c r="D135" s="5" t="s">
        <v>107</v>
      </c>
      <c r="E135" s="5" t="s">
        <v>26</v>
      </c>
      <c r="F135" s="10">
        <v>269000</v>
      </c>
      <c r="G135" s="10"/>
      <c r="H135" s="10">
        <f t="shared" si="8"/>
        <v>269000</v>
      </c>
      <c r="I135" s="15" t="s">
        <v>15</v>
      </c>
      <c r="J135" s="16"/>
    </row>
    <row r="136" spans="1:10" s="17" customFormat="1" x14ac:dyDescent="0.4">
      <c r="A136" s="14">
        <v>46164</v>
      </c>
      <c r="B136" s="15">
        <v>9</v>
      </c>
      <c r="C136" s="4" t="s">
        <v>43</v>
      </c>
      <c r="D136" s="5" t="s">
        <v>44</v>
      </c>
      <c r="E136" s="5" t="s">
        <v>26</v>
      </c>
      <c r="F136" s="10">
        <v>26300</v>
      </c>
      <c r="G136" s="10"/>
      <c r="H136" s="10">
        <f t="shared" si="8"/>
        <v>26300</v>
      </c>
      <c r="I136" s="15" t="s">
        <v>15</v>
      </c>
      <c r="J136" s="16"/>
    </row>
    <row r="137" spans="1:10" s="17" customFormat="1" x14ac:dyDescent="0.4">
      <c r="A137" s="14">
        <v>46164</v>
      </c>
      <c r="B137" s="15">
        <v>9</v>
      </c>
      <c r="C137" s="4" t="s">
        <v>55</v>
      </c>
      <c r="D137" s="5" t="s">
        <v>56</v>
      </c>
      <c r="E137" s="5" t="s">
        <v>26</v>
      </c>
      <c r="F137" s="10"/>
      <c r="G137" s="10">
        <v>3938784</v>
      </c>
      <c r="H137" s="10">
        <f t="shared" si="8"/>
        <v>-3938784</v>
      </c>
      <c r="I137" s="15" t="s">
        <v>15</v>
      </c>
      <c r="J137" s="16"/>
    </row>
    <row r="138" spans="1:10" s="17" customFormat="1" x14ac:dyDescent="0.4">
      <c r="A138" s="14">
        <v>46173</v>
      </c>
      <c r="B138" s="15">
        <v>9</v>
      </c>
      <c r="C138" s="4" t="s">
        <v>118</v>
      </c>
      <c r="D138" s="5" t="s">
        <v>119</v>
      </c>
      <c r="E138" s="5" t="s">
        <v>223</v>
      </c>
      <c r="F138" s="10">
        <v>550896000</v>
      </c>
      <c r="G138" s="10"/>
      <c r="H138" s="10">
        <f t="shared" si="8"/>
        <v>550896000</v>
      </c>
      <c r="I138" s="15" t="s">
        <v>20</v>
      </c>
      <c r="J138" s="16"/>
    </row>
    <row r="139" spans="1:10" s="17" customFormat="1" x14ac:dyDescent="0.4">
      <c r="A139" s="14">
        <v>46173</v>
      </c>
      <c r="B139" s="15">
        <v>9</v>
      </c>
      <c r="C139" s="4" t="s">
        <v>57</v>
      </c>
      <c r="D139" s="5" t="s">
        <v>58</v>
      </c>
      <c r="E139" s="5" t="s">
        <v>223</v>
      </c>
      <c r="F139" s="10"/>
      <c r="G139" s="10">
        <v>550896000</v>
      </c>
      <c r="H139" s="10">
        <f t="shared" si="8"/>
        <v>-550896000</v>
      </c>
      <c r="I139" s="15" t="s">
        <v>20</v>
      </c>
      <c r="J139" s="16"/>
    </row>
    <row r="140" spans="1:10" s="17" customFormat="1" x14ac:dyDescent="0.4">
      <c r="A140" s="14"/>
      <c r="B140" s="15"/>
      <c r="C140" s="4"/>
      <c r="D140" s="5"/>
      <c r="E140" s="5"/>
      <c r="F140" s="10"/>
      <c r="G140" s="10"/>
      <c r="H140" s="10"/>
      <c r="I140" s="15"/>
      <c r="J140" s="16"/>
    </row>
    <row r="141" spans="1:10" s="17" customFormat="1" x14ac:dyDescent="0.4">
      <c r="A141" s="14">
        <v>46153</v>
      </c>
      <c r="B141" s="15">
        <v>10</v>
      </c>
      <c r="C141" s="4" t="s">
        <v>57</v>
      </c>
      <c r="D141" s="5" t="s">
        <v>58</v>
      </c>
      <c r="E141" s="5" t="s">
        <v>186</v>
      </c>
      <c r="F141" s="10">
        <v>37513972</v>
      </c>
      <c r="G141" s="10"/>
      <c r="H141" s="10">
        <f t="shared" ref="H141:H149" si="9">F141-G141</f>
        <v>37513972</v>
      </c>
      <c r="I141" s="15" t="s">
        <v>20</v>
      </c>
      <c r="J141" s="16"/>
    </row>
    <row r="142" spans="1:10" s="17" customFormat="1" x14ac:dyDescent="0.4">
      <c r="A142" s="14">
        <v>46153</v>
      </c>
      <c r="B142" s="15">
        <v>10</v>
      </c>
      <c r="C142" s="4" t="s">
        <v>55</v>
      </c>
      <c r="D142" s="5" t="s">
        <v>56</v>
      </c>
      <c r="E142" s="5" t="s">
        <v>186</v>
      </c>
      <c r="F142" s="10"/>
      <c r="G142" s="10">
        <v>37513972</v>
      </c>
      <c r="H142" s="10">
        <f t="shared" si="9"/>
        <v>-37513972</v>
      </c>
      <c r="I142" s="15" t="s">
        <v>20</v>
      </c>
      <c r="J142" s="16"/>
    </row>
    <row r="143" spans="1:10" s="17" customFormat="1" x14ac:dyDescent="0.4">
      <c r="A143" s="14">
        <v>46164</v>
      </c>
      <c r="B143" s="15">
        <v>10</v>
      </c>
      <c r="C143" s="4" t="s">
        <v>106</v>
      </c>
      <c r="D143" s="5" t="s">
        <v>107</v>
      </c>
      <c r="E143" s="5" t="s">
        <v>28</v>
      </c>
      <c r="F143" s="10">
        <v>56000</v>
      </c>
      <c r="G143" s="10"/>
      <c r="H143" s="10">
        <f t="shared" si="9"/>
        <v>56000</v>
      </c>
      <c r="I143" s="15" t="s">
        <v>15</v>
      </c>
      <c r="J143" s="16"/>
    </row>
    <row r="144" spans="1:10" s="17" customFormat="1" x14ac:dyDescent="0.4">
      <c r="A144" s="14">
        <v>46164</v>
      </c>
      <c r="B144" s="15">
        <v>10</v>
      </c>
      <c r="C144" s="4" t="s">
        <v>90</v>
      </c>
      <c r="D144" s="5" t="s">
        <v>91</v>
      </c>
      <c r="E144" s="5" t="s">
        <v>28</v>
      </c>
      <c r="F144" s="10">
        <v>52712</v>
      </c>
      <c r="G144" s="10"/>
      <c r="H144" s="10">
        <f t="shared" si="9"/>
        <v>52712</v>
      </c>
      <c r="I144" s="15" t="s">
        <v>15</v>
      </c>
      <c r="J144" s="16"/>
    </row>
    <row r="145" spans="1:10" s="17" customFormat="1" x14ac:dyDescent="0.4">
      <c r="A145" s="14">
        <v>46164</v>
      </c>
      <c r="B145" s="15">
        <v>10</v>
      </c>
      <c r="C145" s="4" t="s">
        <v>43</v>
      </c>
      <c r="D145" s="5" t="s">
        <v>44</v>
      </c>
      <c r="E145" s="5" t="s">
        <v>28</v>
      </c>
      <c r="F145" s="10">
        <v>13000</v>
      </c>
      <c r="G145" s="10"/>
      <c r="H145" s="10">
        <f t="shared" si="9"/>
        <v>13000</v>
      </c>
      <c r="I145" s="15" t="s">
        <v>15</v>
      </c>
      <c r="J145" s="16"/>
    </row>
    <row r="146" spans="1:10" s="17" customFormat="1" x14ac:dyDescent="0.4">
      <c r="A146" s="14">
        <v>46164</v>
      </c>
      <c r="B146" s="15">
        <v>10</v>
      </c>
      <c r="C146" s="4" t="s">
        <v>55</v>
      </c>
      <c r="D146" s="5" t="s">
        <v>56</v>
      </c>
      <c r="E146" s="5" t="s">
        <v>28</v>
      </c>
      <c r="F146" s="10"/>
      <c r="G146" s="10">
        <v>121712</v>
      </c>
      <c r="H146" s="10">
        <f t="shared" si="9"/>
        <v>-121712</v>
      </c>
      <c r="I146" s="15" t="s">
        <v>15</v>
      </c>
      <c r="J146" s="16"/>
    </row>
    <row r="147" spans="1:10" s="17" customFormat="1" x14ac:dyDescent="0.4">
      <c r="A147" s="14">
        <v>46173</v>
      </c>
      <c r="B147" s="15">
        <v>10</v>
      </c>
      <c r="C147" s="4" t="s">
        <v>118</v>
      </c>
      <c r="D147" s="5" t="s">
        <v>119</v>
      </c>
      <c r="E147" s="5" t="s">
        <v>224</v>
      </c>
      <c r="F147" s="10">
        <v>25893498</v>
      </c>
      <c r="G147" s="10"/>
      <c r="H147" s="10">
        <f t="shared" si="9"/>
        <v>25893498</v>
      </c>
      <c r="I147" s="15" t="s">
        <v>20</v>
      </c>
      <c r="J147" s="16"/>
    </row>
    <row r="148" spans="1:10" s="17" customFormat="1" x14ac:dyDescent="0.4">
      <c r="A148" s="14">
        <v>46173</v>
      </c>
      <c r="B148" s="15">
        <v>10</v>
      </c>
      <c r="C148" s="4" t="s">
        <v>75</v>
      </c>
      <c r="D148" s="5" t="s">
        <v>76</v>
      </c>
      <c r="E148" s="5" t="s">
        <v>224</v>
      </c>
      <c r="F148" s="10">
        <v>2589349</v>
      </c>
      <c r="G148" s="10"/>
      <c r="H148" s="10">
        <f t="shared" si="9"/>
        <v>2589349</v>
      </c>
      <c r="I148" s="15" t="s">
        <v>20</v>
      </c>
      <c r="J148" s="16"/>
    </row>
    <row r="149" spans="1:10" s="17" customFormat="1" x14ac:dyDescent="0.4">
      <c r="A149" s="14">
        <v>46173</v>
      </c>
      <c r="B149" s="15">
        <v>10</v>
      </c>
      <c r="C149" s="4" t="s">
        <v>57</v>
      </c>
      <c r="D149" s="5" t="s">
        <v>58</v>
      </c>
      <c r="E149" s="5" t="s">
        <v>224</v>
      </c>
      <c r="F149" s="10"/>
      <c r="G149" s="10">
        <v>28482847</v>
      </c>
      <c r="H149" s="10">
        <f t="shared" si="9"/>
        <v>-28482847</v>
      </c>
      <c r="I149" s="15" t="s">
        <v>20</v>
      </c>
      <c r="J149" s="16"/>
    </row>
    <row r="150" spans="1:10" s="17" customFormat="1" x14ac:dyDescent="0.4">
      <c r="A150" s="14"/>
      <c r="B150" s="15"/>
      <c r="C150" s="4"/>
      <c r="D150" s="5"/>
      <c r="E150" s="5"/>
      <c r="F150" s="10"/>
      <c r="G150" s="10"/>
      <c r="H150" s="10"/>
      <c r="I150" s="15"/>
      <c r="J150" s="16"/>
    </row>
    <row r="151" spans="1:10" s="17" customFormat="1" x14ac:dyDescent="0.4">
      <c r="A151" s="14">
        <v>46153</v>
      </c>
      <c r="B151" s="15">
        <v>11</v>
      </c>
      <c r="C151" s="4" t="s">
        <v>57</v>
      </c>
      <c r="D151" s="5" t="s">
        <v>58</v>
      </c>
      <c r="E151" s="5" t="s">
        <v>187</v>
      </c>
      <c r="F151" s="10">
        <v>720269353</v>
      </c>
      <c r="G151" s="10"/>
      <c r="H151" s="10">
        <f t="shared" ref="H151:H160" si="10">F151-G151</f>
        <v>720269353</v>
      </c>
      <c r="I151" s="15" t="s">
        <v>20</v>
      </c>
      <c r="J151" s="16"/>
    </row>
    <row r="152" spans="1:10" s="17" customFormat="1" x14ac:dyDescent="0.4">
      <c r="A152" s="14">
        <v>46153</v>
      </c>
      <c r="B152" s="15">
        <v>11</v>
      </c>
      <c r="C152" s="4" t="s">
        <v>55</v>
      </c>
      <c r="D152" s="5" t="s">
        <v>56</v>
      </c>
      <c r="E152" s="5" t="s">
        <v>187</v>
      </c>
      <c r="F152" s="10"/>
      <c r="G152" s="10">
        <v>720269353</v>
      </c>
      <c r="H152" s="10">
        <f t="shared" si="10"/>
        <v>-720269353</v>
      </c>
      <c r="I152" s="15" t="s">
        <v>20</v>
      </c>
      <c r="J152" s="16"/>
    </row>
    <row r="153" spans="1:10" s="17" customFormat="1" x14ac:dyDescent="0.4">
      <c r="A153" s="14">
        <v>46164</v>
      </c>
      <c r="B153" s="15">
        <v>11</v>
      </c>
      <c r="C153" s="4" t="s">
        <v>98</v>
      </c>
      <c r="D153" s="5" t="s">
        <v>99</v>
      </c>
      <c r="E153" s="5" t="s">
        <v>29</v>
      </c>
      <c r="F153" s="10">
        <v>121800</v>
      </c>
      <c r="G153" s="10"/>
      <c r="H153" s="10">
        <f t="shared" si="10"/>
        <v>121800</v>
      </c>
      <c r="I153" s="15" t="s">
        <v>15</v>
      </c>
      <c r="J153" s="16"/>
    </row>
    <row r="154" spans="1:10" s="17" customFormat="1" x14ac:dyDescent="0.4">
      <c r="A154" s="14">
        <v>46164</v>
      </c>
      <c r="B154" s="15">
        <v>11</v>
      </c>
      <c r="C154" s="4" t="s">
        <v>90</v>
      </c>
      <c r="D154" s="5" t="s">
        <v>91</v>
      </c>
      <c r="E154" s="5" t="s">
        <v>29</v>
      </c>
      <c r="F154" s="10">
        <v>52712</v>
      </c>
      <c r="G154" s="10"/>
      <c r="H154" s="10">
        <f t="shared" si="10"/>
        <v>52712</v>
      </c>
      <c r="I154" s="15" t="s">
        <v>15</v>
      </c>
      <c r="J154" s="16"/>
    </row>
    <row r="155" spans="1:10" s="17" customFormat="1" x14ac:dyDescent="0.4">
      <c r="A155" s="14">
        <v>46164</v>
      </c>
      <c r="B155" s="15">
        <v>11</v>
      </c>
      <c r="C155" s="4" t="s">
        <v>154</v>
      </c>
      <c r="D155" s="5" t="s">
        <v>155</v>
      </c>
      <c r="E155" s="5" t="s">
        <v>29</v>
      </c>
      <c r="F155" s="10">
        <v>4040</v>
      </c>
      <c r="G155" s="10"/>
      <c r="H155" s="10">
        <f t="shared" si="10"/>
        <v>4040</v>
      </c>
      <c r="I155" s="15" t="s">
        <v>15</v>
      </c>
      <c r="J155" s="16"/>
    </row>
    <row r="156" spans="1:10" s="17" customFormat="1" x14ac:dyDescent="0.4">
      <c r="A156" s="14">
        <v>46164</v>
      </c>
      <c r="B156" s="15">
        <v>11</v>
      </c>
      <c r="C156" s="4" t="s">
        <v>96</v>
      </c>
      <c r="D156" s="5" t="s">
        <v>97</v>
      </c>
      <c r="E156" s="5" t="s">
        <v>29</v>
      </c>
      <c r="F156" s="10">
        <v>80000</v>
      </c>
      <c r="G156" s="10"/>
      <c r="H156" s="10">
        <f t="shared" si="10"/>
        <v>80000</v>
      </c>
      <c r="I156" s="15" t="s">
        <v>15</v>
      </c>
      <c r="J156" s="16"/>
    </row>
    <row r="157" spans="1:10" s="17" customFormat="1" x14ac:dyDescent="0.4">
      <c r="A157" s="14">
        <v>46164</v>
      </c>
      <c r="B157" s="15">
        <v>11</v>
      </c>
      <c r="C157" s="4" t="s">
        <v>55</v>
      </c>
      <c r="D157" s="5" t="s">
        <v>56</v>
      </c>
      <c r="E157" s="5" t="s">
        <v>29</v>
      </c>
      <c r="F157" s="10"/>
      <c r="G157" s="10">
        <v>258552</v>
      </c>
      <c r="H157" s="10">
        <f t="shared" si="10"/>
        <v>-258552</v>
      </c>
      <c r="I157" s="15" t="s">
        <v>15</v>
      </c>
      <c r="J157" s="16"/>
    </row>
    <row r="158" spans="1:10" s="17" customFormat="1" x14ac:dyDescent="0.4">
      <c r="A158" s="14">
        <v>46173</v>
      </c>
      <c r="B158" s="15">
        <v>11</v>
      </c>
      <c r="C158" s="4" t="s">
        <v>118</v>
      </c>
      <c r="D158" s="5" t="s">
        <v>119</v>
      </c>
      <c r="E158" s="5" t="s">
        <v>223</v>
      </c>
      <c r="F158" s="10">
        <v>927517594</v>
      </c>
      <c r="G158" s="10"/>
      <c r="H158" s="10">
        <f t="shared" si="10"/>
        <v>927517594</v>
      </c>
      <c r="I158" s="15" t="s">
        <v>20</v>
      </c>
      <c r="J158" s="16"/>
    </row>
    <row r="159" spans="1:10" s="17" customFormat="1" x14ac:dyDescent="0.4">
      <c r="A159" s="14">
        <v>46173</v>
      </c>
      <c r="B159" s="15">
        <v>11</v>
      </c>
      <c r="C159" s="4" t="s">
        <v>75</v>
      </c>
      <c r="D159" s="5" t="s">
        <v>76</v>
      </c>
      <c r="E159" s="5" t="s">
        <v>223</v>
      </c>
      <c r="F159" s="10">
        <v>92751759</v>
      </c>
      <c r="G159" s="10"/>
      <c r="H159" s="10">
        <f t="shared" si="10"/>
        <v>92751759</v>
      </c>
      <c r="I159" s="15" t="s">
        <v>20</v>
      </c>
      <c r="J159" s="16"/>
    </row>
    <row r="160" spans="1:10" s="17" customFormat="1" x14ac:dyDescent="0.4">
      <c r="A160" s="14">
        <v>46173</v>
      </c>
      <c r="B160" s="15">
        <v>11</v>
      </c>
      <c r="C160" s="4" t="s">
        <v>57</v>
      </c>
      <c r="D160" s="5" t="s">
        <v>58</v>
      </c>
      <c r="E160" s="5" t="s">
        <v>223</v>
      </c>
      <c r="F160" s="10"/>
      <c r="G160" s="10">
        <v>1020269353</v>
      </c>
      <c r="H160" s="10">
        <f t="shared" si="10"/>
        <v>-1020269353</v>
      </c>
      <c r="I160" s="15" t="s">
        <v>20</v>
      </c>
      <c r="J160" s="16"/>
    </row>
    <row r="161" spans="1:10" s="17" customFormat="1" x14ac:dyDescent="0.4">
      <c r="A161" s="14"/>
      <c r="B161" s="15"/>
      <c r="C161" s="4"/>
      <c r="D161" s="5"/>
      <c r="E161" s="5"/>
      <c r="F161" s="10"/>
      <c r="G161" s="10"/>
      <c r="H161" s="10"/>
      <c r="I161" s="15"/>
      <c r="J161" s="16"/>
    </row>
    <row r="162" spans="1:10" s="17" customFormat="1" x14ac:dyDescent="0.4">
      <c r="A162" s="14">
        <v>46153</v>
      </c>
      <c r="B162" s="15">
        <v>12</v>
      </c>
      <c r="C162" s="4" t="s">
        <v>51</v>
      </c>
      <c r="D162" s="5" t="s">
        <v>52</v>
      </c>
      <c r="E162" s="5" t="s">
        <v>188</v>
      </c>
      <c r="F162" s="10">
        <v>18437710</v>
      </c>
      <c r="G162" s="10"/>
      <c r="H162" s="10">
        <f t="shared" ref="H162:H170" si="11">F162-G162</f>
        <v>18437710</v>
      </c>
      <c r="I162" s="15" t="s">
        <v>15</v>
      </c>
      <c r="J162" s="16"/>
    </row>
    <row r="163" spans="1:10" s="17" customFormat="1" x14ac:dyDescent="0.4">
      <c r="A163" s="14">
        <v>46153</v>
      </c>
      <c r="B163" s="15">
        <v>12</v>
      </c>
      <c r="C163" s="4" t="s">
        <v>53</v>
      </c>
      <c r="D163" s="5" t="s">
        <v>54</v>
      </c>
      <c r="E163" s="5" t="s">
        <v>189</v>
      </c>
      <c r="F163" s="10">
        <v>1843720</v>
      </c>
      <c r="G163" s="10"/>
      <c r="H163" s="10">
        <f t="shared" si="11"/>
        <v>1843720</v>
      </c>
      <c r="I163" s="15" t="s">
        <v>15</v>
      </c>
      <c r="J163" s="16"/>
    </row>
    <row r="164" spans="1:10" s="17" customFormat="1" x14ac:dyDescent="0.4">
      <c r="A164" s="14">
        <v>46153</v>
      </c>
      <c r="B164" s="15">
        <v>12</v>
      </c>
      <c r="C164" s="4" t="s">
        <v>55</v>
      </c>
      <c r="D164" s="5" t="s">
        <v>56</v>
      </c>
      <c r="E164" s="5" t="s">
        <v>190</v>
      </c>
      <c r="F164" s="10"/>
      <c r="G164" s="10">
        <v>20281430</v>
      </c>
      <c r="H164" s="10">
        <f t="shared" si="11"/>
        <v>-20281430</v>
      </c>
      <c r="I164" s="15" t="s">
        <v>15</v>
      </c>
      <c r="J164" s="16"/>
    </row>
    <row r="165" spans="1:10" s="17" customFormat="1" x14ac:dyDescent="0.4">
      <c r="A165" s="14">
        <v>46164</v>
      </c>
      <c r="B165" s="15">
        <v>12</v>
      </c>
      <c r="C165" s="4" t="s">
        <v>102</v>
      </c>
      <c r="D165" s="5" t="s">
        <v>103</v>
      </c>
      <c r="E165" s="5" t="s">
        <v>153</v>
      </c>
      <c r="F165" s="10">
        <v>17552</v>
      </c>
      <c r="G165" s="10"/>
      <c r="H165" s="10">
        <f t="shared" si="11"/>
        <v>17552</v>
      </c>
      <c r="I165" s="15" t="s">
        <v>15</v>
      </c>
      <c r="J165" s="16"/>
    </row>
    <row r="166" spans="1:10" s="17" customFormat="1" x14ac:dyDescent="0.4">
      <c r="A166" s="14">
        <v>46164</v>
      </c>
      <c r="B166" s="15">
        <v>12</v>
      </c>
      <c r="C166" s="4" t="s">
        <v>90</v>
      </c>
      <c r="D166" s="5" t="s">
        <v>91</v>
      </c>
      <c r="E166" s="5" t="s">
        <v>153</v>
      </c>
      <c r="F166" s="10">
        <v>52712</v>
      </c>
      <c r="G166" s="10"/>
      <c r="H166" s="10">
        <f t="shared" si="11"/>
        <v>52712</v>
      </c>
      <c r="I166" s="15" t="s">
        <v>15</v>
      </c>
      <c r="J166" s="16"/>
    </row>
    <row r="167" spans="1:10" s="17" customFormat="1" x14ac:dyDescent="0.4">
      <c r="A167" s="14">
        <v>46164</v>
      </c>
      <c r="B167" s="15">
        <v>12</v>
      </c>
      <c r="C167" s="4" t="s">
        <v>55</v>
      </c>
      <c r="D167" s="5" t="s">
        <v>56</v>
      </c>
      <c r="E167" s="5" t="s">
        <v>153</v>
      </c>
      <c r="F167" s="10"/>
      <c r="G167" s="10">
        <v>70264</v>
      </c>
      <c r="H167" s="10">
        <f t="shared" si="11"/>
        <v>-70264</v>
      </c>
      <c r="I167" s="15" t="s">
        <v>15</v>
      </c>
      <c r="J167" s="16"/>
    </row>
    <row r="168" spans="1:10" s="17" customFormat="1" x14ac:dyDescent="0.4">
      <c r="A168" s="14">
        <v>46173</v>
      </c>
      <c r="B168" s="15">
        <v>12</v>
      </c>
      <c r="C168" s="4" t="s">
        <v>118</v>
      </c>
      <c r="D168" s="5" t="s">
        <v>119</v>
      </c>
      <c r="E168" s="5" t="s">
        <v>225</v>
      </c>
      <c r="F168" s="10">
        <v>119345411</v>
      </c>
      <c r="G168" s="10"/>
      <c r="H168" s="10">
        <f t="shared" si="11"/>
        <v>119345411</v>
      </c>
      <c r="I168" s="15" t="s">
        <v>20</v>
      </c>
      <c r="J168" s="16"/>
    </row>
    <row r="169" spans="1:10" s="17" customFormat="1" x14ac:dyDescent="0.4">
      <c r="A169" s="14">
        <v>46173</v>
      </c>
      <c r="B169" s="15">
        <v>12</v>
      </c>
      <c r="C169" s="4" t="s">
        <v>75</v>
      </c>
      <c r="D169" s="5" t="s">
        <v>76</v>
      </c>
      <c r="E169" s="5" t="s">
        <v>225</v>
      </c>
      <c r="F169" s="10">
        <v>11934541</v>
      </c>
      <c r="G169" s="10"/>
      <c r="H169" s="10">
        <f t="shared" si="11"/>
        <v>11934541</v>
      </c>
      <c r="I169" s="15" t="s">
        <v>20</v>
      </c>
      <c r="J169" s="16"/>
    </row>
    <row r="170" spans="1:10" s="17" customFormat="1" x14ac:dyDescent="0.4">
      <c r="A170" s="14">
        <v>46173</v>
      </c>
      <c r="B170" s="15">
        <v>12</v>
      </c>
      <c r="C170" s="4" t="s">
        <v>57</v>
      </c>
      <c r="D170" s="5" t="s">
        <v>58</v>
      </c>
      <c r="E170" s="5" t="s">
        <v>225</v>
      </c>
      <c r="F170" s="10"/>
      <c r="G170" s="10">
        <v>131279952</v>
      </c>
      <c r="H170" s="10">
        <f t="shared" si="11"/>
        <v>-131279952</v>
      </c>
      <c r="I170" s="15" t="s">
        <v>20</v>
      </c>
      <c r="J170" s="16"/>
    </row>
    <row r="171" spans="1:10" s="17" customFormat="1" x14ac:dyDescent="0.4">
      <c r="A171" s="14"/>
      <c r="B171" s="15"/>
      <c r="C171" s="4"/>
      <c r="D171" s="5"/>
      <c r="E171" s="5"/>
      <c r="F171" s="10"/>
      <c r="G171" s="10"/>
      <c r="H171" s="10"/>
      <c r="I171" s="15"/>
      <c r="J171" s="16"/>
    </row>
    <row r="172" spans="1:10" s="17" customFormat="1" x14ac:dyDescent="0.4">
      <c r="A172" s="14">
        <v>46153</v>
      </c>
      <c r="B172" s="15">
        <v>13</v>
      </c>
      <c r="C172" s="4" t="s">
        <v>159</v>
      </c>
      <c r="D172" s="5" t="s">
        <v>163</v>
      </c>
      <c r="E172" s="5" t="s">
        <v>191</v>
      </c>
      <c r="F172" s="10">
        <v>78910</v>
      </c>
      <c r="G172" s="10"/>
      <c r="H172" s="10">
        <f t="shared" ref="H172:H185" si="12">F172-G172</f>
        <v>78910</v>
      </c>
      <c r="I172" s="15" t="s">
        <v>15</v>
      </c>
      <c r="J172" s="16"/>
    </row>
    <row r="173" spans="1:10" s="17" customFormat="1" x14ac:dyDescent="0.4">
      <c r="A173" s="14">
        <v>46153</v>
      </c>
      <c r="B173" s="15">
        <v>13</v>
      </c>
      <c r="C173" s="4" t="s">
        <v>45</v>
      </c>
      <c r="D173" s="5" t="s">
        <v>46</v>
      </c>
      <c r="E173" s="5" t="s">
        <v>191</v>
      </c>
      <c r="F173" s="10"/>
      <c r="G173" s="10">
        <v>78910</v>
      </c>
      <c r="H173" s="10">
        <f t="shared" si="12"/>
        <v>-78910</v>
      </c>
      <c r="I173" s="15" t="s">
        <v>15</v>
      </c>
      <c r="J173" s="16"/>
    </row>
    <row r="174" spans="1:10" s="17" customFormat="1" x14ac:dyDescent="0.4">
      <c r="A174" s="14">
        <v>46157</v>
      </c>
      <c r="B174" s="15">
        <v>13</v>
      </c>
      <c r="C174" s="4" t="s">
        <v>55</v>
      </c>
      <c r="D174" s="5" t="s">
        <v>56</v>
      </c>
      <c r="E174" s="5" t="s">
        <v>16</v>
      </c>
      <c r="F174" s="10">
        <v>362208655</v>
      </c>
      <c r="G174" s="10"/>
      <c r="H174" s="10">
        <f t="shared" si="12"/>
        <v>362208655</v>
      </c>
      <c r="I174" s="15" t="s">
        <v>17</v>
      </c>
      <c r="J174" s="16"/>
    </row>
    <row r="175" spans="1:10" s="17" customFormat="1" x14ac:dyDescent="0.4">
      <c r="A175" s="14">
        <v>46157</v>
      </c>
      <c r="B175" s="15">
        <v>13</v>
      </c>
      <c r="C175" s="4" t="s">
        <v>77</v>
      </c>
      <c r="D175" s="5" t="s">
        <v>78</v>
      </c>
      <c r="E175" s="5" t="s">
        <v>16</v>
      </c>
      <c r="F175" s="10"/>
      <c r="G175" s="10">
        <v>362208655</v>
      </c>
      <c r="H175" s="10">
        <f t="shared" si="12"/>
        <v>-362208655</v>
      </c>
      <c r="I175" s="15" t="s">
        <v>17</v>
      </c>
      <c r="J175" s="16"/>
    </row>
    <row r="176" spans="1:10" s="17" customFormat="1" x14ac:dyDescent="0.4">
      <c r="A176" s="14">
        <v>46164</v>
      </c>
      <c r="B176" s="15">
        <v>13</v>
      </c>
      <c r="C176" s="4" t="s">
        <v>98</v>
      </c>
      <c r="D176" s="5" t="s">
        <v>99</v>
      </c>
      <c r="E176" s="5" t="s">
        <v>26</v>
      </c>
      <c r="F176" s="10">
        <v>107426</v>
      </c>
      <c r="G176" s="10"/>
      <c r="H176" s="10">
        <f t="shared" si="12"/>
        <v>107426</v>
      </c>
      <c r="I176" s="15" t="s">
        <v>15</v>
      </c>
      <c r="J176" s="16"/>
    </row>
    <row r="177" spans="1:10" s="17" customFormat="1" x14ac:dyDescent="0.4">
      <c r="A177" s="14">
        <v>46164</v>
      </c>
      <c r="B177" s="15">
        <v>13</v>
      </c>
      <c r="C177" s="4" t="s">
        <v>104</v>
      </c>
      <c r="D177" s="5" t="s">
        <v>105</v>
      </c>
      <c r="E177" s="5" t="s">
        <v>26</v>
      </c>
      <c r="F177" s="10">
        <v>786849</v>
      </c>
      <c r="G177" s="10"/>
      <c r="H177" s="10">
        <f t="shared" si="12"/>
        <v>786849</v>
      </c>
      <c r="I177" s="15" t="s">
        <v>15</v>
      </c>
      <c r="J177" s="16"/>
    </row>
    <row r="178" spans="1:10" s="17" customFormat="1" x14ac:dyDescent="0.4">
      <c r="A178" s="14">
        <v>46164</v>
      </c>
      <c r="B178" s="15">
        <v>13</v>
      </c>
      <c r="C178" s="4" t="s">
        <v>100</v>
      </c>
      <c r="D178" s="5" t="s">
        <v>101</v>
      </c>
      <c r="E178" s="5" t="s">
        <v>26</v>
      </c>
      <c r="F178" s="10">
        <v>383186</v>
      </c>
      <c r="G178" s="10"/>
      <c r="H178" s="10">
        <f t="shared" si="12"/>
        <v>383186</v>
      </c>
      <c r="I178" s="15" t="s">
        <v>15</v>
      </c>
      <c r="J178" s="16"/>
    </row>
    <row r="179" spans="1:10" s="17" customFormat="1" x14ac:dyDescent="0.4">
      <c r="A179" s="14">
        <v>46164</v>
      </c>
      <c r="B179" s="15">
        <v>13</v>
      </c>
      <c r="C179" s="4" t="s">
        <v>90</v>
      </c>
      <c r="D179" s="5" t="s">
        <v>91</v>
      </c>
      <c r="E179" s="5" t="s">
        <v>26</v>
      </c>
      <c r="F179" s="10">
        <v>96712</v>
      </c>
      <c r="G179" s="10"/>
      <c r="H179" s="10">
        <f t="shared" si="12"/>
        <v>96712</v>
      </c>
      <c r="I179" s="15" t="s">
        <v>15</v>
      </c>
      <c r="J179" s="16"/>
    </row>
    <row r="180" spans="1:10" s="17" customFormat="1" x14ac:dyDescent="0.4">
      <c r="A180" s="14">
        <v>46164</v>
      </c>
      <c r="B180" s="15">
        <v>13</v>
      </c>
      <c r="C180" s="4" t="s">
        <v>102</v>
      </c>
      <c r="D180" s="5" t="s">
        <v>103</v>
      </c>
      <c r="E180" s="5" t="s">
        <v>26</v>
      </c>
      <c r="F180" s="10">
        <v>10746</v>
      </c>
      <c r="G180" s="10"/>
      <c r="H180" s="10">
        <f t="shared" si="12"/>
        <v>10746</v>
      </c>
      <c r="I180" s="15" t="s">
        <v>15</v>
      </c>
      <c r="J180" s="16"/>
    </row>
    <row r="181" spans="1:10" s="17" customFormat="1" x14ac:dyDescent="0.4">
      <c r="A181" s="14">
        <v>46164</v>
      </c>
      <c r="B181" s="15">
        <v>13</v>
      </c>
      <c r="C181" s="4" t="s">
        <v>106</v>
      </c>
      <c r="D181" s="5" t="s">
        <v>107</v>
      </c>
      <c r="E181" s="5" t="s">
        <v>26</v>
      </c>
      <c r="F181" s="10">
        <v>110445</v>
      </c>
      <c r="G181" s="10"/>
      <c r="H181" s="10">
        <f t="shared" si="12"/>
        <v>110445</v>
      </c>
      <c r="I181" s="15" t="s">
        <v>15</v>
      </c>
      <c r="J181" s="16"/>
    </row>
    <row r="182" spans="1:10" s="17" customFormat="1" x14ac:dyDescent="0.4">
      <c r="A182" s="14">
        <v>46164</v>
      </c>
      <c r="B182" s="15">
        <v>13</v>
      </c>
      <c r="C182" s="4" t="s">
        <v>43</v>
      </c>
      <c r="D182" s="5" t="s">
        <v>44</v>
      </c>
      <c r="E182" s="5" t="s">
        <v>26</v>
      </c>
      <c r="F182" s="10">
        <v>40280</v>
      </c>
      <c r="G182" s="10"/>
      <c r="H182" s="10">
        <f t="shared" si="12"/>
        <v>40280</v>
      </c>
      <c r="I182" s="15" t="s">
        <v>15</v>
      </c>
      <c r="J182" s="16"/>
    </row>
    <row r="183" spans="1:10" s="17" customFormat="1" x14ac:dyDescent="0.4">
      <c r="A183" s="14">
        <v>46164</v>
      </c>
      <c r="B183" s="15">
        <v>13</v>
      </c>
      <c r="C183" s="4" t="s">
        <v>55</v>
      </c>
      <c r="D183" s="5" t="s">
        <v>56</v>
      </c>
      <c r="E183" s="5" t="s">
        <v>26</v>
      </c>
      <c r="F183" s="10"/>
      <c r="G183" s="10">
        <v>1535644</v>
      </c>
      <c r="H183" s="10">
        <f t="shared" si="12"/>
        <v>-1535644</v>
      </c>
      <c r="I183" s="15" t="s">
        <v>15</v>
      </c>
      <c r="J183" s="16"/>
    </row>
    <row r="184" spans="1:10" s="17" customFormat="1" x14ac:dyDescent="0.4">
      <c r="A184" s="14">
        <v>46173</v>
      </c>
      <c r="B184" s="15">
        <v>13</v>
      </c>
      <c r="C184" s="4" t="s">
        <v>120</v>
      </c>
      <c r="D184" s="5" t="s">
        <v>121</v>
      </c>
      <c r="E184" s="5" t="s">
        <v>226</v>
      </c>
      <c r="F184" s="10">
        <v>3302674</v>
      </c>
      <c r="G184" s="10"/>
      <c r="H184" s="10">
        <f t="shared" si="12"/>
        <v>3302674</v>
      </c>
      <c r="I184" s="15" t="s">
        <v>15</v>
      </c>
      <c r="J184" s="16"/>
    </row>
    <row r="185" spans="1:10" s="17" customFormat="1" x14ac:dyDescent="0.4">
      <c r="A185" s="14">
        <v>46173</v>
      </c>
      <c r="B185" s="15">
        <v>13</v>
      </c>
      <c r="C185" s="4" t="s">
        <v>122</v>
      </c>
      <c r="D185" s="5" t="s">
        <v>123</v>
      </c>
      <c r="E185" s="5" t="s">
        <v>226</v>
      </c>
      <c r="F185" s="10"/>
      <c r="G185" s="10">
        <v>3302674</v>
      </c>
      <c r="H185" s="10">
        <f t="shared" si="12"/>
        <v>-3302674</v>
      </c>
      <c r="I185" s="15" t="s">
        <v>15</v>
      </c>
      <c r="J185" s="16"/>
    </row>
    <row r="186" spans="1:10" s="17" customFormat="1" x14ac:dyDescent="0.4">
      <c r="A186" s="14"/>
      <c r="B186" s="15"/>
      <c r="C186" s="4"/>
      <c r="D186" s="5"/>
      <c r="E186" s="5"/>
      <c r="F186" s="10"/>
      <c r="G186" s="10"/>
      <c r="H186" s="10"/>
      <c r="I186" s="15"/>
      <c r="J186" s="16"/>
    </row>
    <row r="187" spans="1:10" s="17" customFormat="1" x14ac:dyDescent="0.4">
      <c r="A187" s="14">
        <v>46157</v>
      </c>
      <c r="B187" s="15">
        <v>14</v>
      </c>
      <c r="C187" s="4" t="s">
        <v>73</v>
      </c>
      <c r="D187" s="5" t="s">
        <v>74</v>
      </c>
      <c r="E187" s="5" t="s">
        <v>16</v>
      </c>
      <c r="F187" s="10">
        <v>2000</v>
      </c>
      <c r="G187" s="10"/>
      <c r="H187" s="10">
        <f t="shared" ref="H187:H192" si="13">F187-G187</f>
        <v>2000</v>
      </c>
      <c r="I187" s="15" t="s">
        <v>17</v>
      </c>
      <c r="J187" s="16"/>
    </row>
    <row r="188" spans="1:10" s="17" customFormat="1" x14ac:dyDescent="0.4">
      <c r="A188" s="14">
        <v>46157</v>
      </c>
      <c r="B188" s="15">
        <v>14</v>
      </c>
      <c r="C188" s="4" t="s">
        <v>55</v>
      </c>
      <c r="D188" s="5" t="s">
        <v>56</v>
      </c>
      <c r="E188" s="5" t="s">
        <v>16</v>
      </c>
      <c r="F188" s="10"/>
      <c r="G188" s="10">
        <v>2000</v>
      </c>
      <c r="H188" s="10">
        <f t="shared" si="13"/>
        <v>-2000</v>
      </c>
      <c r="I188" s="15" t="s">
        <v>17</v>
      </c>
      <c r="J188" s="16"/>
    </row>
    <row r="189" spans="1:10" s="17" customFormat="1" x14ac:dyDescent="0.4">
      <c r="A189" s="14">
        <v>46164</v>
      </c>
      <c r="B189" s="15">
        <v>14</v>
      </c>
      <c r="C189" s="4" t="s">
        <v>112</v>
      </c>
      <c r="D189" s="5" t="s">
        <v>113</v>
      </c>
      <c r="E189" s="5" t="s">
        <v>37</v>
      </c>
      <c r="F189" s="10">
        <v>373000</v>
      </c>
      <c r="G189" s="10"/>
      <c r="H189" s="10">
        <f t="shared" si="13"/>
        <v>373000</v>
      </c>
      <c r="I189" s="15" t="s">
        <v>15</v>
      </c>
      <c r="J189" s="16"/>
    </row>
    <row r="190" spans="1:10" s="17" customFormat="1" x14ac:dyDescent="0.4">
      <c r="A190" s="14">
        <v>46164</v>
      </c>
      <c r="B190" s="15">
        <v>14</v>
      </c>
      <c r="C190" s="4" t="s">
        <v>55</v>
      </c>
      <c r="D190" s="5" t="s">
        <v>56</v>
      </c>
      <c r="E190" s="5" t="s">
        <v>37</v>
      </c>
      <c r="F190" s="10"/>
      <c r="G190" s="10">
        <v>373000</v>
      </c>
      <c r="H190" s="10">
        <f t="shared" si="13"/>
        <v>-373000</v>
      </c>
      <c r="I190" s="15" t="s">
        <v>15</v>
      </c>
      <c r="J190" s="16"/>
    </row>
    <row r="191" spans="1:10" s="17" customFormat="1" x14ac:dyDescent="0.4">
      <c r="A191" s="14">
        <v>46173</v>
      </c>
      <c r="B191" s="15">
        <v>14</v>
      </c>
      <c r="C191" s="4" t="s">
        <v>49</v>
      </c>
      <c r="D191" s="5" t="s">
        <v>50</v>
      </c>
      <c r="E191" s="5" t="s">
        <v>227</v>
      </c>
      <c r="F191" s="10">
        <v>1355893</v>
      </c>
      <c r="G191" s="10"/>
      <c r="H191" s="10">
        <f t="shared" si="13"/>
        <v>1355893</v>
      </c>
      <c r="I191" s="15" t="s">
        <v>15</v>
      </c>
      <c r="J191" s="16"/>
    </row>
    <row r="192" spans="1:10" s="17" customFormat="1" x14ac:dyDescent="0.4">
      <c r="A192" s="14">
        <v>46173</v>
      </c>
      <c r="B192" s="15">
        <v>14</v>
      </c>
      <c r="C192" s="4" t="s">
        <v>47</v>
      </c>
      <c r="D192" s="5" t="s">
        <v>48</v>
      </c>
      <c r="E192" s="5" t="s">
        <v>227</v>
      </c>
      <c r="F192" s="10"/>
      <c r="G192" s="10">
        <v>1355893</v>
      </c>
      <c r="H192" s="10">
        <f t="shared" si="13"/>
        <v>-1355893</v>
      </c>
      <c r="I192" s="15" t="s">
        <v>15</v>
      </c>
      <c r="J192" s="16"/>
    </row>
    <row r="193" spans="1:10" s="17" customFormat="1" x14ac:dyDescent="0.4">
      <c r="A193" s="14"/>
      <c r="B193" s="15"/>
      <c r="C193" s="4"/>
      <c r="D193" s="5"/>
      <c r="E193" s="5"/>
      <c r="F193" s="10"/>
      <c r="G193" s="10"/>
      <c r="H193" s="10"/>
      <c r="I193" s="15"/>
      <c r="J193" s="16"/>
    </row>
    <row r="194" spans="1:10" s="17" customFormat="1" x14ac:dyDescent="0.4">
      <c r="A194" s="14">
        <v>46164</v>
      </c>
      <c r="B194" s="15">
        <v>15</v>
      </c>
      <c r="C194" s="4" t="s">
        <v>96</v>
      </c>
      <c r="D194" s="5" t="s">
        <v>97</v>
      </c>
      <c r="E194" s="5" t="s">
        <v>38</v>
      </c>
      <c r="F194" s="10">
        <v>30000</v>
      </c>
      <c r="G194" s="10"/>
      <c r="H194" s="10">
        <f t="shared" ref="H194:H201" si="14">F194-G194</f>
        <v>30000</v>
      </c>
      <c r="I194" s="15" t="s">
        <v>15</v>
      </c>
      <c r="J194" s="16"/>
    </row>
    <row r="195" spans="1:10" s="17" customFormat="1" x14ac:dyDescent="0.4">
      <c r="A195" s="14">
        <v>46164</v>
      </c>
      <c r="B195" s="15">
        <v>15</v>
      </c>
      <c r="C195" s="4" t="s">
        <v>159</v>
      </c>
      <c r="D195" s="5" t="s">
        <v>163</v>
      </c>
      <c r="E195" s="5" t="s">
        <v>204</v>
      </c>
      <c r="F195" s="10">
        <v>286000</v>
      </c>
      <c r="G195" s="10"/>
      <c r="H195" s="10">
        <f t="shared" si="14"/>
        <v>286000</v>
      </c>
      <c r="I195" s="15" t="s">
        <v>15</v>
      </c>
      <c r="J195" s="16"/>
    </row>
    <row r="196" spans="1:10" s="17" customFormat="1" x14ac:dyDescent="0.4">
      <c r="A196" s="14">
        <v>46164</v>
      </c>
      <c r="B196" s="15">
        <v>15</v>
      </c>
      <c r="C196" s="4" t="s">
        <v>159</v>
      </c>
      <c r="D196" s="5" t="s">
        <v>163</v>
      </c>
      <c r="E196" s="5" t="s">
        <v>205</v>
      </c>
      <c r="F196" s="10">
        <v>100000</v>
      </c>
      <c r="G196" s="10"/>
      <c r="H196" s="10">
        <f t="shared" si="14"/>
        <v>100000</v>
      </c>
      <c r="I196" s="15" t="s">
        <v>15</v>
      </c>
      <c r="J196" s="16"/>
    </row>
    <row r="197" spans="1:10" s="17" customFormat="1" x14ac:dyDescent="0.4">
      <c r="A197" s="14">
        <v>46164</v>
      </c>
      <c r="B197" s="15">
        <v>15</v>
      </c>
      <c r="C197" s="4" t="s">
        <v>159</v>
      </c>
      <c r="D197" s="5" t="s">
        <v>163</v>
      </c>
      <c r="E197" s="5" t="s">
        <v>206</v>
      </c>
      <c r="F197" s="10">
        <v>200000</v>
      </c>
      <c r="G197" s="10"/>
      <c r="H197" s="10">
        <f t="shared" si="14"/>
        <v>200000</v>
      </c>
      <c r="I197" s="15" t="s">
        <v>15</v>
      </c>
      <c r="J197" s="16"/>
    </row>
    <row r="198" spans="1:10" s="17" customFormat="1" x14ac:dyDescent="0.4">
      <c r="A198" s="14">
        <v>46164</v>
      </c>
      <c r="B198" s="15">
        <v>15</v>
      </c>
      <c r="C198" s="4" t="s">
        <v>159</v>
      </c>
      <c r="D198" s="5" t="s">
        <v>163</v>
      </c>
      <c r="E198" s="5" t="s">
        <v>207</v>
      </c>
      <c r="F198" s="10">
        <v>100000</v>
      </c>
      <c r="G198" s="10"/>
      <c r="H198" s="10">
        <f t="shared" si="14"/>
        <v>100000</v>
      </c>
      <c r="I198" s="15" t="s">
        <v>15</v>
      </c>
      <c r="J198" s="16"/>
    </row>
    <row r="199" spans="1:10" s="17" customFormat="1" x14ac:dyDescent="0.4">
      <c r="A199" s="14">
        <v>46164</v>
      </c>
      <c r="B199" s="15">
        <v>15</v>
      </c>
      <c r="C199" s="4" t="s">
        <v>55</v>
      </c>
      <c r="D199" s="5" t="s">
        <v>56</v>
      </c>
      <c r="E199" s="5" t="s">
        <v>150</v>
      </c>
      <c r="F199" s="10"/>
      <c r="G199" s="10">
        <v>716000</v>
      </c>
      <c r="H199" s="10">
        <f t="shared" si="14"/>
        <v>-716000</v>
      </c>
      <c r="I199" s="15" t="s">
        <v>15</v>
      </c>
      <c r="J199" s="16"/>
    </row>
    <row r="200" spans="1:10" s="17" customFormat="1" x14ac:dyDescent="0.4">
      <c r="A200" s="14">
        <v>46173</v>
      </c>
      <c r="B200" s="15">
        <v>15</v>
      </c>
      <c r="C200" s="4" t="s">
        <v>49</v>
      </c>
      <c r="D200" s="5" t="s">
        <v>50</v>
      </c>
      <c r="E200" s="5" t="s">
        <v>227</v>
      </c>
      <c r="F200" s="10">
        <v>406358</v>
      </c>
      <c r="G200" s="10"/>
      <c r="H200" s="10">
        <f t="shared" si="14"/>
        <v>406358</v>
      </c>
      <c r="I200" s="15" t="s">
        <v>15</v>
      </c>
      <c r="J200" s="16"/>
    </row>
    <row r="201" spans="1:10" s="17" customFormat="1" x14ac:dyDescent="0.4">
      <c r="A201" s="14">
        <v>46173</v>
      </c>
      <c r="B201" s="15">
        <v>15</v>
      </c>
      <c r="C201" s="4" t="s">
        <v>47</v>
      </c>
      <c r="D201" s="5" t="s">
        <v>48</v>
      </c>
      <c r="E201" s="5" t="s">
        <v>227</v>
      </c>
      <c r="F201" s="10"/>
      <c r="G201" s="10">
        <v>406358</v>
      </c>
      <c r="H201" s="10">
        <f t="shared" si="14"/>
        <v>-406358</v>
      </c>
      <c r="I201" s="15" t="s">
        <v>15</v>
      </c>
      <c r="J201" s="16"/>
    </row>
    <row r="202" spans="1:10" s="17" customFormat="1" x14ac:dyDescent="0.4">
      <c r="A202" s="14"/>
      <c r="B202" s="15"/>
      <c r="C202" s="4"/>
      <c r="D202" s="5"/>
      <c r="E202" s="5"/>
      <c r="F202" s="10"/>
      <c r="G202" s="10"/>
      <c r="H202" s="10"/>
      <c r="I202" s="15"/>
      <c r="J202" s="16"/>
    </row>
    <row r="203" spans="1:10" s="17" customFormat="1" x14ac:dyDescent="0.4">
      <c r="A203" s="14">
        <v>46164</v>
      </c>
      <c r="B203" s="15">
        <v>16</v>
      </c>
      <c r="C203" s="4" t="s">
        <v>110</v>
      </c>
      <c r="D203" s="5" t="s">
        <v>111</v>
      </c>
      <c r="E203" s="5" t="s">
        <v>208</v>
      </c>
      <c r="F203" s="10">
        <v>3361110</v>
      </c>
      <c r="G203" s="10"/>
      <c r="H203" s="10">
        <f t="shared" ref="H203:H208" si="15">F203-G203</f>
        <v>3361110</v>
      </c>
      <c r="I203" s="15" t="s">
        <v>33</v>
      </c>
      <c r="J203" s="16"/>
    </row>
    <row r="204" spans="1:10" s="17" customFormat="1" x14ac:dyDescent="0.4">
      <c r="A204" s="14">
        <v>46164</v>
      </c>
      <c r="B204" s="15">
        <v>16</v>
      </c>
      <c r="C204" s="4" t="s">
        <v>75</v>
      </c>
      <c r="D204" s="5" t="s">
        <v>76</v>
      </c>
      <c r="E204" s="5" t="s">
        <v>208</v>
      </c>
      <c r="F204" s="10">
        <v>336111</v>
      </c>
      <c r="G204" s="10"/>
      <c r="H204" s="10">
        <f t="shared" si="15"/>
        <v>336111</v>
      </c>
      <c r="I204" s="15" t="s">
        <v>33</v>
      </c>
      <c r="J204" s="16"/>
    </row>
    <row r="205" spans="1:10" s="17" customFormat="1" x14ac:dyDescent="0.4">
      <c r="A205" s="14">
        <v>46164</v>
      </c>
      <c r="B205" s="15">
        <v>16</v>
      </c>
      <c r="C205" s="4" t="s">
        <v>55</v>
      </c>
      <c r="D205" s="5" t="s">
        <v>56</v>
      </c>
      <c r="E205" s="5" t="s">
        <v>208</v>
      </c>
      <c r="F205" s="10"/>
      <c r="G205" s="10">
        <v>3697221</v>
      </c>
      <c r="H205" s="10">
        <f t="shared" si="15"/>
        <v>-3697221</v>
      </c>
      <c r="I205" s="15" t="s">
        <v>33</v>
      </c>
      <c r="J205" s="16"/>
    </row>
    <row r="206" spans="1:10" s="17" customFormat="1" x14ac:dyDescent="0.4">
      <c r="A206" s="14">
        <v>46173</v>
      </c>
      <c r="B206" s="15">
        <v>16</v>
      </c>
      <c r="C206" s="4" t="s">
        <v>124</v>
      </c>
      <c r="D206" s="5" t="s">
        <v>125</v>
      </c>
      <c r="E206" s="5" t="s">
        <v>228</v>
      </c>
      <c r="F206" s="10">
        <v>2280564</v>
      </c>
      <c r="G206" s="10"/>
      <c r="H206" s="10">
        <f t="shared" si="15"/>
        <v>2280564</v>
      </c>
      <c r="I206" s="15" t="s">
        <v>15</v>
      </c>
      <c r="J206" s="16"/>
    </row>
    <row r="207" spans="1:10" s="17" customFormat="1" x14ac:dyDescent="0.4">
      <c r="A207" s="14">
        <v>46173</v>
      </c>
      <c r="B207" s="15">
        <v>16</v>
      </c>
      <c r="C207" s="4" t="s">
        <v>126</v>
      </c>
      <c r="D207" s="5" t="s">
        <v>127</v>
      </c>
      <c r="E207" s="5" t="s">
        <v>228</v>
      </c>
      <c r="F207" s="10"/>
      <c r="G207" s="10">
        <v>2205864</v>
      </c>
      <c r="H207" s="10">
        <f t="shared" si="15"/>
        <v>-2205864</v>
      </c>
      <c r="I207" s="15" t="s">
        <v>15</v>
      </c>
      <c r="J207" s="16"/>
    </row>
    <row r="208" spans="1:10" s="17" customFormat="1" x14ac:dyDescent="0.4">
      <c r="A208" s="14">
        <v>46173</v>
      </c>
      <c r="B208" s="15">
        <v>16</v>
      </c>
      <c r="C208" s="4" t="s">
        <v>128</v>
      </c>
      <c r="D208" s="5" t="s">
        <v>129</v>
      </c>
      <c r="E208" s="5" t="s">
        <v>228</v>
      </c>
      <c r="F208" s="10"/>
      <c r="G208" s="10">
        <v>74700</v>
      </c>
      <c r="H208" s="10">
        <f t="shared" si="15"/>
        <v>-74700</v>
      </c>
      <c r="I208" s="15" t="s">
        <v>15</v>
      </c>
      <c r="J208" s="16"/>
    </row>
    <row r="209" spans="1:10" s="17" customFormat="1" x14ac:dyDescent="0.4">
      <c r="A209" s="14"/>
      <c r="B209" s="15"/>
      <c r="C209" s="4"/>
      <c r="D209" s="5"/>
      <c r="E209" s="5"/>
      <c r="F209" s="10"/>
      <c r="G209" s="10"/>
      <c r="H209" s="10"/>
      <c r="I209" s="15"/>
      <c r="J209" s="16"/>
    </row>
    <row r="210" spans="1:10" s="17" customFormat="1" x14ac:dyDescent="0.4">
      <c r="A210" s="14">
        <v>46164</v>
      </c>
      <c r="B210" s="15">
        <v>17</v>
      </c>
      <c r="C210" s="4" t="s">
        <v>57</v>
      </c>
      <c r="D210" s="5" t="s">
        <v>58</v>
      </c>
      <c r="E210" s="5" t="s">
        <v>187</v>
      </c>
      <c r="F210" s="10">
        <v>300000000</v>
      </c>
      <c r="G210" s="10"/>
      <c r="H210" s="10">
        <f>F210-G210</f>
        <v>300000000</v>
      </c>
      <c r="I210" s="15" t="s">
        <v>20</v>
      </c>
      <c r="J210" s="16"/>
    </row>
    <row r="211" spans="1:10" s="17" customFormat="1" x14ac:dyDescent="0.4">
      <c r="A211" s="14">
        <v>46164</v>
      </c>
      <c r="B211" s="15">
        <v>17</v>
      </c>
      <c r="C211" s="4" t="s">
        <v>55</v>
      </c>
      <c r="D211" s="5" t="s">
        <v>56</v>
      </c>
      <c r="E211" s="5" t="s">
        <v>187</v>
      </c>
      <c r="F211" s="10"/>
      <c r="G211" s="10">
        <v>300000000</v>
      </c>
      <c r="H211" s="10">
        <f>F211-G211</f>
        <v>-300000000</v>
      </c>
      <c r="I211" s="15" t="s">
        <v>20</v>
      </c>
      <c r="J211" s="16"/>
    </row>
    <row r="212" spans="1:10" s="17" customFormat="1" x14ac:dyDescent="0.4">
      <c r="A212" s="14">
        <v>46173</v>
      </c>
      <c r="B212" s="15">
        <v>17</v>
      </c>
      <c r="C212" s="4" t="s">
        <v>130</v>
      </c>
      <c r="D212" s="5" t="s">
        <v>131</v>
      </c>
      <c r="E212" s="5" t="s">
        <v>229</v>
      </c>
      <c r="F212" s="10">
        <v>3788</v>
      </c>
      <c r="G212" s="10"/>
      <c r="H212" s="10">
        <f>F212-G212</f>
        <v>3788</v>
      </c>
      <c r="I212" s="15" t="s">
        <v>15</v>
      </c>
      <c r="J212" s="16"/>
    </row>
    <row r="213" spans="1:10" s="17" customFormat="1" x14ac:dyDescent="0.4">
      <c r="A213" s="14">
        <v>46173</v>
      </c>
      <c r="B213" s="15">
        <v>17</v>
      </c>
      <c r="C213" s="4" t="s">
        <v>116</v>
      </c>
      <c r="D213" s="5" t="s">
        <v>117</v>
      </c>
      <c r="E213" s="5" t="s">
        <v>229</v>
      </c>
      <c r="F213" s="10"/>
      <c r="G213" s="10">
        <v>3788</v>
      </c>
      <c r="H213" s="10">
        <f>F213-G213</f>
        <v>-3788</v>
      </c>
      <c r="I213" s="15" t="s">
        <v>15</v>
      </c>
      <c r="J213" s="16"/>
    </row>
    <row r="214" spans="1:10" s="17" customFormat="1" x14ac:dyDescent="0.4">
      <c r="A214" s="14"/>
      <c r="B214" s="15"/>
      <c r="C214" s="4"/>
      <c r="D214" s="5"/>
      <c r="E214" s="5"/>
      <c r="F214" s="10"/>
      <c r="G214" s="10"/>
      <c r="H214" s="10"/>
      <c r="I214" s="15"/>
      <c r="J214" s="16"/>
    </row>
    <row r="215" spans="1:10" s="17" customFormat="1" x14ac:dyDescent="0.4">
      <c r="A215" s="14">
        <v>46164</v>
      </c>
      <c r="B215" s="15">
        <v>18</v>
      </c>
      <c r="C215" s="4" t="s">
        <v>108</v>
      </c>
      <c r="D215" s="5" t="s">
        <v>109</v>
      </c>
      <c r="E215" s="5" t="s">
        <v>209</v>
      </c>
      <c r="F215" s="10">
        <v>405770</v>
      </c>
      <c r="G215" s="10"/>
      <c r="H215" s="10">
        <f>F215-G215</f>
        <v>405770</v>
      </c>
      <c r="I215" s="15" t="s">
        <v>20</v>
      </c>
      <c r="J215" s="16"/>
    </row>
    <row r="216" spans="1:10" s="17" customFormat="1" x14ac:dyDescent="0.4">
      <c r="A216" s="14">
        <v>46164</v>
      </c>
      <c r="B216" s="15">
        <v>18</v>
      </c>
      <c r="C216" s="4" t="s">
        <v>75</v>
      </c>
      <c r="D216" s="5" t="s">
        <v>76</v>
      </c>
      <c r="E216" s="5" t="s">
        <v>209</v>
      </c>
      <c r="F216" s="10">
        <v>40577</v>
      </c>
      <c r="G216" s="10"/>
      <c r="H216" s="10">
        <f>F216-G216</f>
        <v>40577</v>
      </c>
      <c r="I216" s="15" t="s">
        <v>20</v>
      </c>
      <c r="J216" s="16"/>
    </row>
    <row r="217" spans="1:10" s="17" customFormat="1" x14ac:dyDescent="0.4">
      <c r="A217" s="14">
        <v>46164</v>
      </c>
      <c r="B217" s="15">
        <v>18</v>
      </c>
      <c r="C217" s="4" t="s">
        <v>55</v>
      </c>
      <c r="D217" s="5" t="s">
        <v>56</v>
      </c>
      <c r="E217" s="5" t="s">
        <v>209</v>
      </c>
      <c r="F217" s="10"/>
      <c r="G217" s="10">
        <v>446347</v>
      </c>
      <c r="H217" s="10">
        <f>F217-G217</f>
        <v>-446347</v>
      </c>
      <c r="I217" s="15" t="s">
        <v>20</v>
      </c>
      <c r="J217" s="16"/>
    </row>
    <row r="218" spans="1:10" s="17" customFormat="1" x14ac:dyDescent="0.4">
      <c r="A218" s="14">
        <v>46173</v>
      </c>
      <c r="B218" s="15">
        <v>18</v>
      </c>
      <c r="C218" s="4" t="s">
        <v>134</v>
      </c>
      <c r="D218" s="5" t="s">
        <v>135</v>
      </c>
      <c r="E218" s="5" t="s">
        <v>230</v>
      </c>
      <c r="F218" s="10">
        <v>60554939</v>
      </c>
      <c r="G218" s="10"/>
      <c r="H218" s="10">
        <f>F218-G218</f>
        <v>60554939</v>
      </c>
      <c r="I218" s="15" t="s">
        <v>15</v>
      </c>
      <c r="J218" s="16"/>
    </row>
    <row r="219" spans="1:10" s="17" customFormat="1" x14ac:dyDescent="0.4">
      <c r="A219" s="14">
        <v>46173</v>
      </c>
      <c r="B219" s="15">
        <v>18</v>
      </c>
      <c r="C219" s="4" t="s">
        <v>132</v>
      </c>
      <c r="D219" s="5" t="s">
        <v>133</v>
      </c>
      <c r="E219" s="5" t="s">
        <v>230</v>
      </c>
      <c r="F219" s="10"/>
      <c r="G219" s="10">
        <v>60554939</v>
      </c>
      <c r="H219" s="10">
        <f>F219-G219</f>
        <v>-60554939</v>
      </c>
      <c r="I219" s="15" t="s">
        <v>15</v>
      </c>
      <c r="J219" s="16"/>
    </row>
    <row r="220" spans="1:10" s="17" customFormat="1" x14ac:dyDescent="0.4">
      <c r="A220" s="14"/>
      <c r="B220" s="15"/>
      <c r="C220" s="4"/>
      <c r="D220" s="5"/>
      <c r="E220" s="5"/>
      <c r="F220" s="10"/>
      <c r="G220" s="10"/>
      <c r="H220" s="10"/>
      <c r="I220" s="15"/>
      <c r="J220" s="16"/>
    </row>
    <row r="221" spans="1:10" s="17" customFormat="1" x14ac:dyDescent="0.4">
      <c r="A221" s="14">
        <v>46164</v>
      </c>
      <c r="B221" s="15">
        <v>19</v>
      </c>
      <c r="C221" s="4" t="s">
        <v>110</v>
      </c>
      <c r="D221" s="5" t="s">
        <v>111</v>
      </c>
      <c r="E221" s="5" t="s">
        <v>210</v>
      </c>
      <c r="F221" s="10">
        <v>650000</v>
      </c>
      <c r="G221" s="10"/>
      <c r="H221" s="10">
        <f>F221-G221</f>
        <v>650000</v>
      </c>
      <c r="I221" s="15" t="s">
        <v>32</v>
      </c>
      <c r="J221" s="16"/>
    </row>
    <row r="222" spans="1:10" s="17" customFormat="1" x14ac:dyDescent="0.4">
      <c r="A222" s="14">
        <v>46164</v>
      </c>
      <c r="B222" s="15">
        <v>19</v>
      </c>
      <c r="C222" s="4" t="s">
        <v>75</v>
      </c>
      <c r="D222" s="5" t="s">
        <v>76</v>
      </c>
      <c r="E222" s="5" t="s">
        <v>210</v>
      </c>
      <c r="F222" s="10">
        <v>65000</v>
      </c>
      <c r="G222" s="10"/>
      <c r="H222" s="10">
        <f>F222-G222</f>
        <v>65000</v>
      </c>
      <c r="I222" s="15" t="s">
        <v>32</v>
      </c>
      <c r="J222" s="16"/>
    </row>
    <row r="223" spans="1:10" s="17" customFormat="1" x14ac:dyDescent="0.4">
      <c r="A223" s="14">
        <v>46164</v>
      </c>
      <c r="B223" s="15">
        <v>19</v>
      </c>
      <c r="C223" s="4" t="s">
        <v>55</v>
      </c>
      <c r="D223" s="5" t="s">
        <v>56</v>
      </c>
      <c r="E223" s="5" t="s">
        <v>210</v>
      </c>
      <c r="F223" s="10"/>
      <c r="G223" s="10">
        <v>715000</v>
      </c>
      <c r="H223" s="10">
        <f>F223-G223</f>
        <v>-715000</v>
      </c>
      <c r="I223" s="15" t="s">
        <v>32</v>
      </c>
      <c r="J223" s="16"/>
    </row>
    <row r="224" spans="1:10" s="17" customFormat="1" x14ac:dyDescent="0.4">
      <c r="A224" s="14">
        <v>46173</v>
      </c>
      <c r="B224" s="15">
        <v>19</v>
      </c>
      <c r="C224" s="4" t="s">
        <v>132</v>
      </c>
      <c r="D224" s="5" t="s">
        <v>133</v>
      </c>
      <c r="E224" s="5" t="s">
        <v>231</v>
      </c>
      <c r="F224" s="10">
        <v>39472265</v>
      </c>
      <c r="G224" s="10"/>
      <c r="H224" s="10">
        <f>F224-G224</f>
        <v>39472265</v>
      </c>
      <c r="I224" s="15" t="s">
        <v>15</v>
      </c>
      <c r="J224" s="16"/>
    </row>
    <row r="225" spans="1:10" s="17" customFormat="1" x14ac:dyDescent="0.4">
      <c r="A225" s="14">
        <v>46173</v>
      </c>
      <c r="B225" s="15">
        <v>19</v>
      </c>
      <c r="C225" s="4" t="s">
        <v>83</v>
      </c>
      <c r="D225" s="5" t="s">
        <v>84</v>
      </c>
      <c r="E225" s="5" t="s">
        <v>231</v>
      </c>
      <c r="F225" s="10"/>
      <c r="G225" s="10">
        <v>39472265</v>
      </c>
      <c r="H225" s="10">
        <f>F225-G225</f>
        <v>-39472265</v>
      </c>
      <c r="I225" s="15" t="s">
        <v>15</v>
      </c>
      <c r="J225" s="16"/>
    </row>
    <row r="226" spans="1:10" s="17" customFormat="1" x14ac:dyDescent="0.4">
      <c r="A226" s="14"/>
      <c r="B226" s="15"/>
      <c r="C226" s="4"/>
      <c r="D226" s="5"/>
      <c r="E226" s="5"/>
      <c r="F226" s="10"/>
      <c r="G226" s="10"/>
      <c r="H226" s="10"/>
      <c r="I226" s="15"/>
      <c r="J226" s="16"/>
    </row>
    <row r="227" spans="1:10" s="17" customFormat="1" x14ac:dyDescent="0.4">
      <c r="A227" s="14">
        <v>46164</v>
      </c>
      <c r="B227" s="15">
        <v>20</v>
      </c>
      <c r="C227" s="4" t="s">
        <v>162</v>
      </c>
      <c r="D227" s="5" t="s">
        <v>166</v>
      </c>
      <c r="E227" s="5" t="s">
        <v>211</v>
      </c>
      <c r="F227" s="10">
        <v>160000</v>
      </c>
      <c r="G227" s="10"/>
      <c r="H227" s="10">
        <f>F227-G227</f>
        <v>160000</v>
      </c>
      <c r="I227" s="15" t="s">
        <v>240</v>
      </c>
      <c r="J227" s="16"/>
    </row>
    <row r="228" spans="1:10" s="17" customFormat="1" x14ac:dyDescent="0.4">
      <c r="A228" s="14">
        <v>46164</v>
      </c>
      <c r="B228" s="15">
        <v>20</v>
      </c>
      <c r="C228" s="4" t="s">
        <v>75</v>
      </c>
      <c r="D228" s="5" t="s">
        <v>76</v>
      </c>
      <c r="E228" s="5" t="s">
        <v>211</v>
      </c>
      <c r="F228" s="10">
        <v>16000</v>
      </c>
      <c r="G228" s="10"/>
      <c r="H228" s="10">
        <f>F228-G228</f>
        <v>16000</v>
      </c>
      <c r="I228" s="15" t="s">
        <v>240</v>
      </c>
      <c r="J228" s="16"/>
    </row>
    <row r="229" spans="1:10" s="17" customFormat="1" x14ac:dyDescent="0.4">
      <c r="A229" s="14">
        <v>46164</v>
      </c>
      <c r="B229" s="15">
        <v>20</v>
      </c>
      <c r="C229" s="4" t="s">
        <v>55</v>
      </c>
      <c r="D229" s="5" t="s">
        <v>56</v>
      </c>
      <c r="E229" s="5" t="s">
        <v>211</v>
      </c>
      <c r="F229" s="10"/>
      <c r="G229" s="10">
        <v>176000</v>
      </c>
      <c r="H229" s="10">
        <f>F229-G229</f>
        <v>-176000</v>
      </c>
      <c r="I229" s="15" t="s">
        <v>240</v>
      </c>
      <c r="J229" s="16"/>
    </row>
    <row r="230" spans="1:10" s="17" customFormat="1" x14ac:dyDescent="0.4">
      <c r="A230" s="14">
        <v>46173</v>
      </c>
      <c r="B230" s="15">
        <v>20</v>
      </c>
      <c r="C230" s="4" t="s">
        <v>134</v>
      </c>
      <c r="D230" s="5" t="s">
        <v>135</v>
      </c>
      <c r="E230" s="5" t="s">
        <v>232</v>
      </c>
      <c r="F230" s="10">
        <v>25121867</v>
      </c>
      <c r="G230" s="10"/>
      <c r="H230" s="10">
        <f>F230-G230</f>
        <v>25121867</v>
      </c>
      <c r="I230" s="15" t="s">
        <v>15</v>
      </c>
      <c r="J230" s="16"/>
    </row>
    <row r="231" spans="1:10" s="17" customFormat="1" x14ac:dyDescent="0.4">
      <c r="A231" s="14">
        <v>46173</v>
      </c>
      <c r="B231" s="15">
        <v>20</v>
      </c>
      <c r="C231" s="4" t="s">
        <v>132</v>
      </c>
      <c r="D231" s="5" t="s">
        <v>133</v>
      </c>
      <c r="E231" s="5" t="s">
        <v>232</v>
      </c>
      <c r="F231" s="10"/>
      <c r="G231" s="10">
        <v>25121867</v>
      </c>
      <c r="H231" s="10">
        <f>F231-G231</f>
        <v>-25121867</v>
      </c>
      <c r="I231" s="15" t="s">
        <v>15</v>
      </c>
      <c r="J231" s="16"/>
    </row>
    <row r="232" spans="1:10" s="17" customFormat="1" x14ac:dyDescent="0.4">
      <c r="A232" s="14"/>
      <c r="B232" s="15"/>
      <c r="C232" s="4"/>
      <c r="D232" s="5"/>
      <c r="E232" s="5"/>
      <c r="F232" s="10"/>
      <c r="G232" s="10"/>
      <c r="H232" s="10"/>
      <c r="I232" s="15"/>
      <c r="J232" s="16"/>
    </row>
    <row r="233" spans="1:10" s="17" customFormat="1" x14ac:dyDescent="0.4">
      <c r="A233" s="14">
        <v>46164</v>
      </c>
      <c r="B233" s="15">
        <v>21</v>
      </c>
      <c r="C233" s="4" t="s">
        <v>47</v>
      </c>
      <c r="D233" s="5" t="s">
        <v>48</v>
      </c>
      <c r="E233" s="5" t="s">
        <v>212</v>
      </c>
      <c r="F233" s="10">
        <v>4784534</v>
      </c>
      <c r="G233" s="10"/>
      <c r="H233" s="10">
        <f>F233-G233</f>
        <v>4784534</v>
      </c>
      <c r="I233" s="15" t="s">
        <v>15</v>
      </c>
      <c r="J233" s="16"/>
    </row>
    <row r="234" spans="1:10" s="17" customFormat="1" x14ac:dyDescent="0.4">
      <c r="A234" s="14">
        <v>46164</v>
      </c>
      <c r="B234" s="15">
        <v>21</v>
      </c>
      <c r="C234" s="4" t="s">
        <v>55</v>
      </c>
      <c r="D234" s="5" t="s">
        <v>56</v>
      </c>
      <c r="E234" s="5" t="s">
        <v>212</v>
      </c>
      <c r="F234" s="10"/>
      <c r="G234" s="10">
        <v>4784534</v>
      </c>
      <c r="H234" s="10">
        <f>F234-G234</f>
        <v>-4784534</v>
      </c>
      <c r="I234" s="15" t="s">
        <v>15</v>
      </c>
      <c r="J234" s="16"/>
    </row>
    <row r="235" spans="1:10" s="17" customFormat="1" x14ac:dyDescent="0.4">
      <c r="A235" s="14">
        <v>46173</v>
      </c>
      <c r="B235" s="15">
        <v>21</v>
      </c>
      <c r="C235" s="4" t="s">
        <v>136</v>
      </c>
      <c r="D235" s="5" t="s">
        <v>137</v>
      </c>
      <c r="E235" s="5" t="s">
        <v>242</v>
      </c>
      <c r="F235" s="10">
        <v>6223542</v>
      </c>
      <c r="G235" s="10"/>
      <c r="H235" s="10">
        <f>F235-G235</f>
        <v>6223542</v>
      </c>
      <c r="I235" s="15" t="s">
        <v>15</v>
      </c>
      <c r="J235" s="16"/>
    </row>
    <row r="236" spans="1:10" s="17" customFormat="1" x14ac:dyDescent="0.4">
      <c r="A236" s="14">
        <v>46173</v>
      </c>
      <c r="B236" s="15">
        <v>21</v>
      </c>
      <c r="C236" s="4" t="s">
        <v>138</v>
      </c>
      <c r="D236" s="5" t="s">
        <v>139</v>
      </c>
      <c r="E236" s="5" t="s">
        <v>242</v>
      </c>
      <c r="F236" s="10"/>
      <c r="G236" s="10">
        <v>6223542</v>
      </c>
      <c r="H236" s="10">
        <f>F236-G236</f>
        <v>-6223542</v>
      </c>
      <c r="I236" s="15" t="s">
        <v>15</v>
      </c>
      <c r="J236" s="16"/>
    </row>
    <row r="237" spans="1:10" s="17" customFormat="1" x14ac:dyDescent="0.4">
      <c r="A237" s="14"/>
      <c r="B237" s="15"/>
      <c r="C237" s="4"/>
      <c r="D237" s="5"/>
      <c r="E237" s="5"/>
      <c r="F237" s="10"/>
      <c r="G237" s="10"/>
      <c r="H237" s="10"/>
      <c r="I237" s="15"/>
      <c r="J237" s="16"/>
    </row>
    <row r="238" spans="1:10" s="17" customFormat="1" x14ac:dyDescent="0.4">
      <c r="A238" s="14">
        <v>46164</v>
      </c>
      <c r="B238" s="15">
        <v>22</v>
      </c>
      <c r="C238" s="4" t="s">
        <v>151</v>
      </c>
      <c r="D238" s="5" t="s">
        <v>152</v>
      </c>
      <c r="E238" s="5" t="s">
        <v>213</v>
      </c>
      <c r="F238" s="10">
        <v>123980</v>
      </c>
      <c r="G238" s="10"/>
      <c r="H238" s="10">
        <f>F238-G238</f>
        <v>123980</v>
      </c>
      <c r="I238" s="15" t="s">
        <v>15</v>
      </c>
      <c r="J238" s="16"/>
    </row>
    <row r="239" spans="1:10" s="17" customFormat="1" x14ac:dyDescent="0.4">
      <c r="A239" s="14">
        <v>46164</v>
      </c>
      <c r="B239" s="15">
        <v>22</v>
      </c>
      <c r="C239" s="4" t="s">
        <v>45</v>
      </c>
      <c r="D239" s="5" t="s">
        <v>46</v>
      </c>
      <c r="E239" s="5" t="s">
        <v>213</v>
      </c>
      <c r="F239" s="10"/>
      <c r="G239" s="10">
        <v>123980</v>
      </c>
      <c r="H239" s="10">
        <f>F239-G239</f>
        <v>-123980</v>
      </c>
      <c r="I239" s="15" t="s">
        <v>15</v>
      </c>
      <c r="J239" s="16"/>
    </row>
    <row r="240" spans="1:10" s="17" customFormat="1" x14ac:dyDescent="0.4">
      <c r="A240" s="14">
        <v>46173</v>
      </c>
      <c r="B240" s="15">
        <v>22</v>
      </c>
      <c r="C240" s="4" t="s">
        <v>132</v>
      </c>
      <c r="D240" s="5" t="s">
        <v>133</v>
      </c>
      <c r="E240" s="5" t="s">
        <v>233</v>
      </c>
      <c r="F240" s="10">
        <v>55401881</v>
      </c>
      <c r="G240" s="10"/>
      <c r="H240" s="10">
        <f>F240-G240</f>
        <v>55401881</v>
      </c>
      <c r="I240" s="15" t="s">
        <v>15</v>
      </c>
      <c r="J240" s="16"/>
    </row>
    <row r="241" spans="1:10" s="17" customFormat="1" x14ac:dyDescent="0.4">
      <c r="A241" s="14">
        <v>46173</v>
      </c>
      <c r="B241" s="15">
        <v>22</v>
      </c>
      <c r="C241" s="4" t="s">
        <v>116</v>
      </c>
      <c r="D241" s="5" t="s">
        <v>117</v>
      </c>
      <c r="E241" s="5" t="s">
        <v>233</v>
      </c>
      <c r="F241" s="10"/>
      <c r="G241" s="10">
        <v>55401881</v>
      </c>
      <c r="H241" s="10">
        <f>F241-G241</f>
        <v>-55401881</v>
      </c>
      <c r="I241" s="15" t="s">
        <v>15</v>
      </c>
      <c r="J241" s="16"/>
    </row>
    <row r="242" spans="1:10" s="17" customFormat="1" x14ac:dyDescent="0.4">
      <c r="A242" s="14"/>
      <c r="B242" s="15"/>
      <c r="C242" s="4"/>
      <c r="D242" s="5"/>
      <c r="E242" s="5"/>
      <c r="F242" s="10"/>
      <c r="G242" s="10"/>
      <c r="H242" s="10"/>
      <c r="I242" s="15"/>
      <c r="J242" s="16"/>
    </row>
    <row r="243" spans="1:10" s="17" customFormat="1" x14ac:dyDescent="0.4">
      <c r="A243" s="14">
        <v>46173</v>
      </c>
      <c r="B243" s="15">
        <v>23</v>
      </c>
      <c r="C243" s="4" t="s">
        <v>116</v>
      </c>
      <c r="D243" s="5" t="s">
        <v>117</v>
      </c>
      <c r="E243" s="5" t="s">
        <v>234</v>
      </c>
      <c r="F243" s="10">
        <v>17891260</v>
      </c>
      <c r="G243" s="10"/>
      <c r="H243" s="10">
        <f>F243-G243</f>
        <v>17891260</v>
      </c>
      <c r="I243" s="15" t="s">
        <v>15</v>
      </c>
      <c r="J243" s="16"/>
    </row>
    <row r="244" spans="1:10" s="17" customFormat="1" x14ac:dyDescent="0.4">
      <c r="A244" s="14">
        <v>46173</v>
      </c>
      <c r="B244" s="15">
        <v>23</v>
      </c>
      <c r="C244" s="4" t="s">
        <v>132</v>
      </c>
      <c r="D244" s="5" t="s">
        <v>133</v>
      </c>
      <c r="E244" s="5" t="s">
        <v>234</v>
      </c>
      <c r="F244" s="10"/>
      <c r="G244" s="10">
        <v>17891260</v>
      </c>
      <c r="H244" s="10">
        <f>F244-G244</f>
        <v>-17891260</v>
      </c>
      <c r="I244" s="15" t="s">
        <v>15</v>
      </c>
      <c r="J244" s="16"/>
    </row>
    <row r="245" spans="1:10" s="17" customFormat="1" x14ac:dyDescent="0.4">
      <c r="A245" s="14"/>
      <c r="B245" s="15"/>
      <c r="C245" s="4"/>
      <c r="D245" s="5"/>
      <c r="E245" s="5"/>
      <c r="F245" s="10"/>
      <c r="G245" s="10"/>
      <c r="H245" s="10"/>
      <c r="I245" s="15"/>
      <c r="J245" s="16"/>
    </row>
    <row r="246" spans="1:10" s="17" customFormat="1" x14ac:dyDescent="0.4">
      <c r="A246" s="14">
        <v>46173</v>
      </c>
      <c r="B246" s="15">
        <v>24</v>
      </c>
      <c r="C246" s="4" t="s">
        <v>132</v>
      </c>
      <c r="D246" s="5" t="s">
        <v>133</v>
      </c>
      <c r="E246" s="5" t="s">
        <v>235</v>
      </c>
      <c r="F246" s="10">
        <v>27235325</v>
      </c>
      <c r="G246" s="10"/>
      <c r="H246" s="10">
        <f>F246-G246</f>
        <v>27235325</v>
      </c>
      <c r="I246" s="15" t="s">
        <v>15</v>
      </c>
      <c r="J246" s="16"/>
    </row>
    <row r="247" spans="1:10" s="17" customFormat="1" x14ac:dyDescent="0.4">
      <c r="A247" s="14">
        <v>46173</v>
      </c>
      <c r="B247" s="15">
        <v>24</v>
      </c>
      <c r="C247" s="4" t="s">
        <v>116</v>
      </c>
      <c r="D247" s="5" t="s">
        <v>117</v>
      </c>
      <c r="E247" s="5" t="s">
        <v>235</v>
      </c>
      <c r="F247" s="10"/>
      <c r="G247" s="10">
        <v>27235325</v>
      </c>
      <c r="H247" s="10">
        <f>F247-G247</f>
        <v>-27235325</v>
      </c>
      <c r="I247" s="15" t="s">
        <v>15</v>
      </c>
      <c r="J247" s="16"/>
    </row>
    <row r="248" spans="1:10" s="17" customFormat="1" x14ac:dyDescent="0.4">
      <c r="A248" s="14"/>
      <c r="B248" s="15"/>
      <c r="C248" s="4"/>
      <c r="D248" s="5"/>
      <c r="E248" s="5"/>
      <c r="F248" s="10"/>
      <c r="G248" s="10"/>
      <c r="H248" s="10"/>
      <c r="I248" s="15"/>
      <c r="J248" s="16"/>
    </row>
    <row r="249" spans="1:10" s="17" customFormat="1" x14ac:dyDescent="0.4">
      <c r="A249" s="14">
        <v>46173</v>
      </c>
      <c r="B249" s="15">
        <v>25</v>
      </c>
      <c r="C249" s="4" t="s">
        <v>116</v>
      </c>
      <c r="D249" s="5" t="s">
        <v>117</v>
      </c>
      <c r="E249" s="5" t="s">
        <v>236</v>
      </c>
      <c r="F249" s="10">
        <v>1918592</v>
      </c>
      <c r="G249" s="10"/>
      <c r="H249" s="10">
        <f>F249-G249</f>
        <v>1918592</v>
      </c>
      <c r="I249" s="15" t="s">
        <v>15</v>
      </c>
      <c r="J249" s="16"/>
    </row>
    <row r="250" spans="1:10" s="17" customFormat="1" x14ac:dyDescent="0.4">
      <c r="A250" s="14">
        <v>46173</v>
      </c>
      <c r="B250" s="15">
        <v>25</v>
      </c>
      <c r="C250" s="4" t="s">
        <v>138</v>
      </c>
      <c r="D250" s="5" t="s">
        <v>139</v>
      </c>
      <c r="E250" s="5" t="s">
        <v>236</v>
      </c>
      <c r="F250" s="10"/>
      <c r="G250" s="10">
        <v>1918592</v>
      </c>
      <c r="H250" s="10">
        <f>F250-G250</f>
        <v>-1918592</v>
      </c>
      <c r="I250" s="15" t="s">
        <v>15</v>
      </c>
      <c r="J250" s="16"/>
    </row>
    <row r="251" spans="1:10" s="17" customFormat="1" x14ac:dyDescent="0.4">
      <c r="A251" s="14"/>
      <c r="B251" s="15"/>
      <c r="C251" s="4"/>
      <c r="D251" s="5"/>
      <c r="E251" s="5"/>
      <c r="F251" s="10"/>
      <c r="G251" s="10"/>
      <c r="H251" s="10"/>
      <c r="I251" s="15"/>
      <c r="J251" s="16"/>
    </row>
    <row r="252" spans="1:10" s="17" customFormat="1" x14ac:dyDescent="0.4">
      <c r="A252" s="14">
        <v>46173</v>
      </c>
      <c r="B252" s="15">
        <v>26</v>
      </c>
      <c r="C252" s="4" t="s">
        <v>140</v>
      </c>
      <c r="D252" s="5" t="s">
        <v>141</v>
      </c>
      <c r="E252" s="5" t="s">
        <v>237</v>
      </c>
      <c r="F252" s="10">
        <v>1321236</v>
      </c>
      <c r="G252" s="10"/>
      <c r="H252" s="10">
        <f>F252-G252</f>
        <v>1321236</v>
      </c>
      <c r="I252" s="15" t="s">
        <v>15</v>
      </c>
      <c r="J252" s="16"/>
    </row>
    <row r="253" spans="1:10" s="17" customFormat="1" x14ac:dyDescent="0.4">
      <c r="A253" s="14">
        <v>46173</v>
      </c>
      <c r="B253" s="15">
        <v>26</v>
      </c>
      <c r="C253" s="4" t="s">
        <v>116</v>
      </c>
      <c r="D253" s="5" t="s">
        <v>117</v>
      </c>
      <c r="E253" s="5" t="s">
        <v>237</v>
      </c>
      <c r="F253" s="10"/>
      <c r="G253" s="10">
        <v>1321236</v>
      </c>
      <c r="H253" s="10">
        <f>F253-G253</f>
        <v>-1321236</v>
      </c>
      <c r="I253" s="15" t="s">
        <v>15</v>
      </c>
      <c r="J253" s="16"/>
    </row>
    <row r="254" spans="1:10" s="17" customFormat="1" x14ac:dyDescent="0.4">
      <c r="A254" s="14"/>
      <c r="B254" s="15"/>
      <c r="C254" s="4"/>
      <c r="D254" s="5"/>
      <c r="E254" s="5"/>
      <c r="F254" s="10"/>
      <c r="G254" s="10"/>
      <c r="H254" s="10"/>
      <c r="I254" s="15"/>
      <c r="J254" s="16"/>
    </row>
    <row r="255" spans="1:10" s="17" customFormat="1" x14ac:dyDescent="0.4">
      <c r="A255" s="14">
        <v>46173</v>
      </c>
      <c r="B255" s="15">
        <v>27</v>
      </c>
      <c r="C255" s="4" t="s">
        <v>116</v>
      </c>
      <c r="D255" s="5" t="s">
        <v>117</v>
      </c>
      <c r="E255" s="5" t="s">
        <v>238</v>
      </c>
      <c r="F255" s="10">
        <v>635047</v>
      </c>
      <c r="G255" s="10"/>
      <c r="H255" s="10">
        <f>F255-G255</f>
        <v>635047</v>
      </c>
      <c r="I255" s="15" t="s">
        <v>15</v>
      </c>
      <c r="J255" s="16"/>
    </row>
    <row r="256" spans="1:10" s="17" customFormat="1" x14ac:dyDescent="0.4">
      <c r="A256" s="14">
        <v>46173</v>
      </c>
      <c r="B256" s="15">
        <v>27</v>
      </c>
      <c r="C256" s="4" t="s">
        <v>142</v>
      </c>
      <c r="D256" s="5" t="s">
        <v>143</v>
      </c>
      <c r="E256" s="5" t="s">
        <v>238</v>
      </c>
      <c r="F256" s="10"/>
      <c r="G256" s="10">
        <v>635047</v>
      </c>
      <c r="H256" s="10">
        <f>F256-G256</f>
        <v>-635047</v>
      </c>
      <c r="I256" s="15" t="s">
        <v>15</v>
      </c>
      <c r="J256" s="16"/>
    </row>
    <row r="257" spans="1:10" s="17" customFormat="1" x14ac:dyDescent="0.4">
      <c r="A257" s="14"/>
      <c r="B257" s="15"/>
      <c r="C257" s="4"/>
      <c r="D257" s="5"/>
      <c r="E257" s="5"/>
      <c r="F257" s="10"/>
      <c r="G257" s="10"/>
      <c r="H257" s="10"/>
      <c r="I257" s="15"/>
      <c r="J257" s="16"/>
    </row>
    <row r="258" spans="1:10" s="17" customFormat="1" x14ac:dyDescent="0.4">
      <c r="A258" s="14">
        <v>46173</v>
      </c>
      <c r="B258" s="15">
        <v>28</v>
      </c>
      <c r="C258" s="4" t="s">
        <v>144</v>
      </c>
      <c r="D258" s="5" t="s">
        <v>145</v>
      </c>
      <c r="E258" s="5" t="s">
        <v>239</v>
      </c>
      <c r="F258" s="10">
        <v>36695</v>
      </c>
      <c r="G258" s="10"/>
      <c r="H258" s="10">
        <f>F258-G258</f>
        <v>36695</v>
      </c>
      <c r="I258" s="15" t="s">
        <v>15</v>
      </c>
      <c r="J258" s="16"/>
    </row>
    <row r="259" spans="1:10" s="17" customFormat="1" x14ac:dyDescent="0.4">
      <c r="A259" s="14">
        <v>46173</v>
      </c>
      <c r="B259" s="15">
        <v>28</v>
      </c>
      <c r="C259" s="4" t="s">
        <v>116</v>
      </c>
      <c r="D259" s="5" t="s">
        <v>117</v>
      </c>
      <c r="E259" s="5" t="s">
        <v>239</v>
      </c>
      <c r="F259" s="10"/>
      <c r="G259" s="10">
        <v>36695</v>
      </c>
      <c r="H259" s="10">
        <f>F259-G259</f>
        <v>-36695</v>
      </c>
      <c r="I259" s="15" t="s">
        <v>15</v>
      </c>
      <c r="J259" s="16"/>
    </row>
    <row r="260" spans="1:10" s="17" customFormat="1" x14ac:dyDescent="0.4">
      <c r="A260" s="14"/>
      <c r="B260" s="15"/>
      <c r="C260" s="4"/>
      <c r="D260" s="5"/>
      <c r="E260" s="5"/>
      <c r="F260" s="10"/>
      <c r="G260" s="10"/>
      <c r="H260" s="10"/>
      <c r="I260" s="15"/>
      <c r="J260" s="16"/>
    </row>
    <row r="261" spans="1:10" s="17" customFormat="1" x14ac:dyDescent="0.4">
      <c r="A261" s="14"/>
      <c r="B261" s="15"/>
      <c r="C261" s="4"/>
      <c r="D261" s="5"/>
      <c r="E261" s="5"/>
      <c r="F261" s="10"/>
      <c r="G261" s="10"/>
      <c r="H261" s="10"/>
      <c r="I261" s="15"/>
      <c r="J261" s="16"/>
    </row>
    <row r="262" spans="1:10" x14ac:dyDescent="0.4">
      <c r="C262"/>
      <c r="F262" s="11">
        <f>SUM(F4:F261)</f>
        <v>8478248536</v>
      </c>
      <c r="G262" s="11">
        <f>SUM(G4:G261)</f>
        <v>8478248536</v>
      </c>
    </row>
    <row r="263" spans="1:10" x14ac:dyDescent="0.4">
      <c r="C263" s="13"/>
      <c r="G263" s="12">
        <f>F262-G262</f>
        <v>0</v>
      </c>
    </row>
  </sheetData>
  <autoFilter ref="A4:I259" xr:uid="{E153F364-BF1A-45BD-AB5F-E6470267127E}"/>
  <mergeCells count="2">
    <mergeCell ref="A1:I1"/>
    <mergeCell ref="A2:I2"/>
  </mergeCells>
  <phoneticPr fontId="5" type="noConversion"/>
  <pageMargins left="0.7" right="0.7" top="0.75" bottom="0.75" header="0.3" footer="0.3"/>
  <pageSetup paperSize="9" scale="34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31be9a-f873-4eb3-b586-028eb57656de">
      <Terms xmlns="http://schemas.microsoft.com/office/infopath/2007/PartnerControls"/>
    </lcf76f155ced4ddcb4097134ff3c332f>
    <TaxCatchAll xmlns="50c908b1-f277-4340-90a9-4611d0b0f07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CF99935E8C14081C194FF61690513" ma:contentTypeVersion="14" ma:contentTypeDescription="Create a new document." ma:contentTypeScope="" ma:versionID="283aedf9d2bb74620699d93e639d4323">
  <xsd:schema xmlns:xsd="http://www.w3.org/2001/XMLSchema" xmlns:xs="http://www.w3.org/2001/XMLSchema" xmlns:p="http://schemas.microsoft.com/office/2006/metadata/properties" xmlns:ns2="0431be9a-f873-4eb3-b586-028eb57656de" xmlns:ns3="50c908b1-f277-4340-90a9-4611d0b0f078" xmlns:ns4="390a395a-1d43-4b30-9356-ad7858920628" targetNamespace="http://schemas.microsoft.com/office/2006/metadata/properties" ma:root="true" ma:fieldsID="4c9adeb8cb17bc03977428472455aae5" ns2:_="" ns3:_="" ns4:_="">
    <xsd:import namespace="0431be9a-f873-4eb3-b586-028eb57656de"/>
    <xsd:import namespace="50c908b1-f277-4340-90a9-4611d0b0f078"/>
    <xsd:import namespace="390a395a-1d43-4b30-9356-ad7858920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1be9a-f873-4eb3-b586-028eb5765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3f18b61-7a54-41f5-bb00-3e45ce6b22be}" ma:internalName="TaxCatchAll" ma:showField="CatchAllData" ma:web="390a395a-1d43-4b30-9356-ad7858920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a395a-1d43-4b30-9356-ad7858920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67239FF-2042-415C-A160-ECCB21E22E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52931C-5595-4FEC-BB60-713DA5535705}">
  <ds:schemaRefs>
    <ds:schemaRef ds:uri="http://schemas.microsoft.com/office/2006/metadata/properties"/>
    <ds:schemaRef ds:uri="http://schemas.microsoft.com/office/infopath/2007/PartnerControls"/>
    <ds:schemaRef ds:uri="0431be9a-f873-4eb3-b586-028eb57656de"/>
    <ds:schemaRef ds:uri="50c908b1-f277-4340-90a9-4611d0b0f078"/>
  </ds:schemaRefs>
</ds:datastoreItem>
</file>

<file path=customXml/itemProps3.xml><?xml version="1.0" encoding="utf-8"?>
<ds:datastoreItem xmlns:ds="http://schemas.openxmlformats.org/officeDocument/2006/customXml" ds:itemID="{970C938E-FB58-4561-BE77-4148A4E11C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31be9a-f873-4eb3-b586-028eb57656de"/>
    <ds:schemaRef ds:uri="50c908b1-f277-4340-90a9-4611d0b0f078"/>
    <ds:schemaRef ds:uri="390a395a-1d43-4b30-9356-ad7858920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0F5549E-0FEB-47DB-B6CE-3F0EB27F43EA}">
  <ds:schemaRefs>
    <ds:schemaRef ds:uri="http://schemas.datacontract.org/2004/07/Longview.Office.Excel.Model"/>
    <ds:schemaRef ds:uri="http://schemas.microsoft.com/2003/10/Serialization/Arrays"/>
    <ds:schemaRef ds:uri="http://schemas.datacontract.org/2004/07/Longview.Office.AddIn.Query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Ernst &amp; Young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Sujin Kim</dc:creator>
  <cp:keywords/>
  <dc:description/>
  <cp:lastModifiedBy>Harold Seo</cp:lastModifiedBy>
  <cp:revision/>
  <dcterms:created xsi:type="dcterms:W3CDTF">2015-12-18T08:35:08Z</dcterms:created>
  <dcterms:modified xsi:type="dcterms:W3CDTF">2026-06-03T05:58:58Z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0x010100F50CF99935E8C14081C194FF61690513</vt:lpwstr>
  </property>
  <property fmtid="{D5CDD505-2E9C-101B-9397-08002B2CF9AE}" pid="3" name="Longview.Workbook">
    <vt:lpwstr>{BBC92B6C-2BF7-45A7-9B45-31D040D961B1}</vt:lpwstr>
  </property>
  <property fmtid="{D5CDD505-2E9C-101B-9397-08002B2CF9AE}" pid="4" name="MediaServiceImageTags">
    <vt:lpwstr/>
  </property>
</Properties>
</file>