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people.ey.com/personal/kimberly_t_arataquio_gds_ey_com/Documents/Personal/EY/Engagement/Inteva Korea Co Ltd/2026/05 May 2026/Workings/1. Department Expense/Deliverable/"/>
    </mc:Choice>
  </mc:AlternateContent>
  <xr:revisionPtr revIDLastSave="448" documentId="13_ncr:1_{D92ED327-B640-4895-AAD2-5A2B608EA255}" xr6:coauthVersionLast="47" xr6:coauthVersionMax="47" xr10:uidLastSave="{33BAA7DE-FD39-4234-A3FF-7255869FAD59}"/>
  <bookViews>
    <workbookView xWindow="-110" yWindow="-110" windowWidth="19420" windowHeight="11500" tabRatio="960" activeTab="5" xr2:uid="{00000000-000D-0000-FFFF-FFFF00000000}"/>
  </bookViews>
  <sheets>
    <sheet name="List" sheetId="5" r:id="rId1"/>
    <sheet name="FX" sheetId="40" r:id="rId2"/>
    <sheet name="HC info" sheetId="42" r:id="rId3"/>
    <sheet name="Capex" sheetId="37" r:id="rId4"/>
    <sheet name="Eng 76100(K01) upload" sheetId="44" state="hidden" r:id="rId5"/>
    <sheet name="RGM10-FY26 Korea" sheetId="46" r:id="rId6"/>
  </sheets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</externalReferences>
  <definedNames>
    <definedName name="\0">#REF!</definedName>
    <definedName name="\A" localSheetId="4">#REF!</definedName>
    <definedName name="\A">#REF!</definedName>
    <definedName name="\B" localSheetId="4">#REF!</definedName>
    <definedName name="\B">#REF!</definedName>
    <definedName name="\C" localSheetId="4">#REF!</definedName>
    <definedName name="\C">#REF!</definedName>
    <definedName name="\d">#REF!</definedName>
    <definedName name="\D2" localSheetId="4">#REF!</definedName>
    <definedName name="\D2">#REF!</definedName>
    <definedName name="\E" localSheetId="4">'[1]Income Statement'!#REF!</definedName>
    <definedName name="\E">'[1]Income Statement'!#REF!</definedName>
    <definedName name="\F" localSheetId="4">#REF!</definedName>
    <definedName name="\F">#REF!</definedName>
    <definedName name="\G" localSheetId="4">#REF!</definedName>
    <definedName name="\G">#REF!</definedName>
    <definedName name="\H" localSheetId="4">#REF!</definedName>
    <definedName name="\H">#REF!</definedName>
    <definedName name="\i">#REF!</definedName>
    <definedName name="\K" localSheetId="4">#REF!</definedName>
    <definedName name="\K">#REF!</definedName>
    <definedName name="\M" localSheetId="4">#REF!</definedName>
    <definedName name="\M">#REF!</definedName>
    <definedName name="\n">#REF!</definedName>
    <definedName name="\p">#REF!</definedName>
    <definedName name="\P2" localSheetId="4">#REF!</definedName>
    <definedName name="\P2">#REF!</definedName>
    <definedName name="\R" localSheetId="4">#REF!</definedName>
    <definedName name="\R">#REF!</definedName>
    <definedName name="\S" localSheetId="4">[2]CTS!#REF!</definedName>
    <definedName name="\S">[2]CTS!#REF!</definedName>
    <definedName name="\T" localSheetId="4">#REF!</definedName>
    <definedName name="\T">#REF!</definedName>
    <definedName name="\u">#REF!</definedName>
    <definedName name="\W" localSheetId="4">#REF!</definedName>
    <definedName name="\W">#REF!</definedName>
    <definedName name="\Y" localSheetId="4">#REF!</definedName>
    <definedName name="\Y">#REF!</definedName>
    <definedName name="\Z" localSheetId="4">#REF!</definedName>
    <definedName name="\Z">#REF!</definedName>
    <definedName name="__123Graph_A" localSheetId="4" hidden="1">[3]TOOLS!#REF!</definedName>
    <definedName name="__123Graph_A" hidden="1">[3]TOOLS!#REF!</definedName>
    <definedName name="__123Graph_AAGEDDEBTORS" localSheetId="4" hidden="1">[4]aged!#REF!</definedName>
    <definedName name="__123Graph_AAGEDDEBTORS" hidden="1">[4]aged!#REF!</definedName>
    <definedName name="__123Graph_AChart1" hidden="1">[5]TOOLS!$BA$279:$BA$284</definedName>
    <definedName name="__123Graph_AChart2" hidden="1">[5]TOOLS!$BA$281:$BA$286</definedName>
    <definedName name="__123Graph_AChart3" hidden="1">[5]TOOLS!$BA$284:$BA$289</definedName>
    <definedName name="__123Graph_ACurrent" hidden="1">[5]TOOLS!$BA$279:$BA$284</definedName>
    <definedName name="__123Graph_B" localSheetId="4" hidden="1">[3]TOOLS!#REF!</definedName>
    <definedName name="__123Graph_B" hidden="1">[3]TOOLS!#REF!</definedName>
    <definedName name="__123Graph_BAGEDDEBTORS" localSheetId="4" hidden="1">[4]aged!#REF!</definedName>
    <definedName name="__123Graph_BAGEDDEBTORS" hidden="1">[4]aged!#REF!</definedName>
    <definedName name="__123Graph_BChart1" hidden="1">[5]TOOLS!$BB$279:$BB$284</definedName>
    <definedName name="__123Graph_BChart2" hidden="1">[5]TOOLS!$BB$281:$BB$286</definedName>
    <definedName name="__123Graph_BChart3" hidden="1">[5]TOOLS!$BB$284:$BB$289</definedName>
    <definedName name="__123Graph_BCurrent" hidden="1">[5]TOOLS!$BB$279:$BB$284</definedName>
    <definedName name="__123Graph_CAGEDDEBTORS" localSheetId="4" hidden="1">[4]aged!#REF!</definedName>
    <definedName name="__123Graph_CAGEDDEBTORS" hidden="1">[4]aged!#REF!</definedName>
    <definedName name="__123Graph_DAGEDDEBTORS" localSheetId="4" hidden="1">[4]aged!#REF!</definedName>
    <definedName name="__123Graph_DAGEDDEBTORS" hidden="1">[4]aged!#REF!</definedName>
    <definedName name="__123Graph_EAGEDDEBTORS" localSheetId="4" hidden="1">[4]aged!#REF!</definedName>
    <definedName name="__123Graph_EAGEDDEBTORS" hidden="1">[4]aged!#REF!</definedName>
    <definedName name="__123Graph_X" localSheetId="4" hidden="1">[3]TOOLS!#REF!</definedName>
    <definedName name="__123Graph_X" hidden="1">[3]TOOLS!#REF!</definedName>
    <definedName name="__123Graph_XAGEDDEBTORS" localSheetId="4" hidden="1">[4]aged!#REF!</definedName>
    <definedName name="__123Graph_XAGEDDEBTORS" hidden="1">[4]aged!#REF!</definedName>
    <definedName name="__123Graph_XChart1" hidden="1">[5]TOOLS!$BA$279:$BA$284</definedName>
    <definedName name="__123Graph_XChart2" hidden="1">[5]TOOLS!$BA$281:$BA$286</definedName>
    <definedName name="__123Graph_XChart3" hidden="1">[5]TOOLS!$BA$284:$BA$289</definedName>
    <definedName name="__123Graph_XCurrent" hidden="1">[5]TOOLS!$BA$279:$BA$284</definedName>
    <definedName name="_1_0dr" localSheetId="4">[6]Margins!#REF!</definedName>
    <definedName name="_12dr">[6]Margins!#REF!</definedName>
    <definedName name="_4_0dr">[6]Margins!#REF!</definedName>
    <definedName name="_5_1020CUM" localSheetId="4">[7]Corpalloc!#REF!</definedName>
    <definedName name="_8_1020CUM">[7]Corpalloc!#REF!</definedName>
    <definedName name="_9dr" localSheetId="4">[6]Margins!#REF!</definedName>
    <definedName name="_Bur7501">#REF!</definedName>
    <definedName name="_Bur7515">#REF!</definedName>
    <definedName name="_Bur7530">#REF!</definedName>
    <definedName name="_Bur7560">#REF!</definedName>
    <definedName name="_Bur7561">#REF!</definedName>
    <definedName name="_Bur7570">#REF!</definedName>
    <definedName name="_Bur7610">#REF!</definedName>
    <definedName name="_Bur7620">#REF!</definedName>
    <definedName name="_C1">#REF!</definedName>
    <definedName name="_C2">#REF!</definedName>
    <definedName name="_CGR34" localSheetId="4">'[1]Income Statement'!#REF!</definedName>
    <definedName name="_CGR34">'[1]Income Statement'!#REF!</definedName>
    <definedName name="_CGR4" localSheetId="4">'[1]Income Statement'!#REF!</definedName>
    <definedName name="_CGR4">'[1]Income Statement'!#REF!</definedName>
    <definedName name="_CUR1">#REF!</definedName>
    <definedName name="_DAT1">#REF!</definedName>
    <definedName name="_DAT2">#REF!</definedName>
    <definedName name="_DAT3">#REF!</definedName>
    <definedName name="_DAT4">#REF!</definedName>
    <definedName name="_DAT5">#REF!</definedName>
    <definedName name="_dir7501">'[8]Sal &amp; Wage Info'!$F$26</definedName>
    <definedName name="_Dir7515">'[8]Sal &amp; Wage Info'!$F$28</definedName>
    <definedName name="_Dir7530">'[8]Sal &amp; Wage Info'!$F$30</definedName>
    <definedName name="_Dir7550">'[8]Sal &amp; Wage Info'!$F$32</definedName>
    <definedName name="_Dir7560">'[8]Sal &amp; Wage Info'!$F$34</definedName>
    <definedName name="_dir7590">'[8]Sal &amp; Wage Info'!$F$42</definedName>
    <definedName name="_Fill" hidden="1">#REF!</definedName>
    <definedName name="_xlnm._FilterDatabase" localSheetId="4" hidden="1">'Eng 76100(K01) upload'!$A$1:$H$91</definedName>
    <definedName name="_xlnm._FilterDatabase" localSheetId="5" hidden="1">'RGM10-FY26 Korea'!$A$5:$AG$92</definedName>
    <definedName name="_JV1">#REF!</definedName>
    <definedName name="_JV2">#REF!</definedName>
    <definedName name="_JV3">#REF!</definedName>
    <definedName name="_JV4">#REF!</definedName>
    <definedName name="_Key1" localSheetId="4" hidden="1">'[7]Burden exp'!#REF!</definedName>
    <definedName name="_Key1" hidden="1">'[7]Burden exp'!#REF!</definedName>
    <definedName name="_Key2" localSheetId="4" hidden="1">'[7]Burden exp'!#REF!</definedName>
    <definedName name="_Key2" hidden="1">'[7]Burden exp'!#REF!</definedName>
    <definedName name="_NEW1">#REF!</definedName>
    <definedName name="_OCF34">#REF!</definedName>
    <definedName name="_OCF4">#REF!</definedName>
    <definedName name="_Order1" hidden="1">255</definedName>
    <definedName name="_Order2" hidden="1">255</definedName>
    <definedName name="_Sort" localSheetId="4" hidden="1">#REF!</definedName>
    <definedName name="_Sort" hidden="1">#REF!</definedName>
    <definedName name="_std03">'[7]Calc &amp; Export'!$A:$IV</definedName>
    <definedName name="_std04">'[7]Carryover 2004'!$A$1:$K$6232</definedName>
    <definedName name="_VW350">[9]Category!$F$1</definedName>
    <definedName name="A" localSheetId="4">#REF!</definedName>
    <definedName name="A">#REF!</definedName>
    <definedName name="A31A32">#REF!</definedName>
    <definedName name="aa">#REF!</definedName>
    <definedName name="ab" localSheetId="4">#REF!</definedName>
    <definedName name="ab">#REF!</definedName>
    <definedName name="ACCT">#REF!</definedName>
    <definedName name="Activités">'[10]ResumeAct.'!$A$11:$Y$333</definedName>
    <definedName name="adfa" hidden="1">{#N/A,#N/A,FALSE,"AOP vs FORECAST "}</definedName>
    <definedName name="aged" hidden="1">[11]A!$E$134:$E$142</definedName>
    <definedName name="AL">#REF!</definedName>
    <definedName name="Alleprodukte_KST">#REF!</definedName>
    <definedName name="ALSS">#REF!</definedName>
    <definedName name="AOP">#REF!</definedName>
    <definedName name="AOPEX" localSheetId="4">#REF!</definedName>
    <definedName name="AOPEX">#REF!</definedName>
    <definedName name="AOPs">[10]Ghost!$C$12:$C$52</definedName>
    <definedName name="AP">#REF!</definedName>
    <definedName name="APP">#REF!</definedName>
    <definedName name="apt">#REF!</definedName>
    <definedName name="Arm_Plants">'[12]ARM plants'!$A$5:$U$22</definedName>
    <definedName name="armplants">'[12]ARM plants'!$A$5:$T$22</definedName>
    <definedName name="as" hidden="1">{#N/A,#N/A,FALSE,"AOP vs FORECAST "}</definedName>
    <definedName name="ASPM">'[10]GR sign Off'!$A$40:$AB$41</definedName>
    <definedName name="ASTR">#REF!</definedName>
    <definedName name="AU" localSheetId="4">#REF!</definedName>
    <definedName name="AU">#REF!</definedName>
    <definedName name="Außenprodukte_KST">#REF!</definedName>
    <definedName name="axe_A">[13]simultaneity!$B$1:$AS$1</definedName>
    <definedName name="axe_B">[13]simultaneity!$A$3:$A$46</definedName>
    <definedName name="B">#REF!</definedName>
    <definedName name="B1_">#REF!</definedName>
    <definedName name="B2_">#REF!</definedName>
    <definedName name="BA">#REF!</definedName>
    <definedName name="BALIND3" localSheetId="4">'[1]Balance Sheet'!#REF!</definedName>
    <definedName name="BALIND3">'[1]Balance Sheet'!#REF!</definedName>
    <definedName name="BALIND4" localSheetId="4">'[1]Balance Sheet'!#REF!</definedName>
    <definedName name="BALIND4">'[1]Balance Sheet'!#REF!</definedName>
    <definedName name="BALTIT" localSheetId="4">'[1]Balance Sheet'!#REF!</definedName>
    <definedName name="BALTIT">'[1]Balance Sheet'!#REF!</definedName>
    <definedName name="barc" localSheetId="4">#REF!</definedName>
    <definedName name="barc">#REF!</definedName>
    <definedName name="BB">#REF!</definedName>
    <definedName name="BCODE">#REF!</definedName>
    <definedName name="BF_File">#REF!</definedName>
    <definedName name="bham" localSheetId="4">#REF!</definedName>
    <definedName name="bham">#REF!</definedName>
    <definedName name="BID_NO">#REF!</definedName>
    <definedName name="BIDDER_1">#REF!</definedName>
    <definedName name="BIDDER_10">#REF!</definedName>
    <definedName name="BIDDER_11">#REF!</definedName>
    <definedName name="BIDDER_12">#REF!</definedName>
    <definedName name="BIDDER_13">#REF!</definedName>
    <definedName name="BIDDER_14">#REF!</definedName>
    <definedName name="BIDDER_15">#REF!</definedName>
    <definedName name="BIDDER_16">#REF!</definedName>
    <definedName name="BIDDER_17">#REF!</definedName>
    <definedName name="BIDDER_18">#REF!</definedName>
    <definedName name="BIDDER_19">#REF!</definedName>
    <definedName name="BIDDER_2">#REF!</definedName>
    <definedName name="BIDDER_20">#REF!</definedName>
    <definedName name="BIDDER_3">#REF!</definedName>
    <definedName name="BIDDER_4">#REF!</definedName>
    <definedName name="BIDDER_5">#REF!</definedName>
    <definedName name="BIDDER_6">#REF!</definedName>
    <definedName name="BIDDER_7">#REF!</definedName>
    <definedName name="BIDDER_8">#REF!</definedName>
    <definedName name="BIDDER_9">#REF!</definedName>
    <definedName name="BOM">#REF!</definedName>
    <definedName name="BPROOF">#REF!</definedName>
    <definedName name="BR">#REF!</definedName>
    <definedName name="BRIGHT">#REF!</definedName>
    <definedName name="bsmdm">[14]KEYISS!$J$9</definedName>
    <definedName name="bsmff">[14]KEYISS!$J$11</definedName>
    <definedName name="bsmpeso">[14]KEYISS!$J$12</definedName>
    <definedName name="bsmps">[14]KEYISS!$J$10</definedName>
    <definedName name="bsmptas">[14]KEYISS!$J$13</definedName>
    <definedName name="BuiltIn_Print_Area">#REF!</definedName>
    <definedName name="BuiltIn_Print_Area___0">#REF!</definedName>
    <definedName name="BuiltIn_Print_Area___0___0">#REF!</definedName>
    <definedName name="BurPir">#REF!</definedName>
    <definedName name="BurProjects">#REF!</definedName>
    <definedName name="business">'[15]AOP Exec Summary'!$A$3</definedName>
    <definedName name="buyer">#REF!</definedName>
    <definedName name="BUYER_NO">#REF!</definedName>
    <definedName name="buyers">#REF!</definedName>
    <definedName name="C_" localSheetId="4">[2]CTS!#REF!</definedName>
    <definedName name="C_">[2]CTS!#REF!</definedName>
    <definedName name="C_1020">#REF!</definedName>
    <definedName name="C_1060">#REF!</definedName>
    <definedName name="CA">#REF!</definedName>
    <definedName name="CAR">#REF!</definedName>
    <definedName name="car_version">#REF!</definedName>
    <definedName name="Cat">[16]Lookups!$C$1:$C$5</definedName>
    <definedName name="Category">[17]Category!$F$1</definedName>
    <definedName name="CategoryNumber">[17]Category!$G$1</definedName>
    <definedName name="catreport">[10]Category!$B$40:$C$50</definedName>
    <definedName name="CAU_1020_1060">#REF!</definedName>
    <definedName name="causal" hidden="1">{#N/A,#N/A,FALSE,"FFsynthesis";#N/A,#N/A,FALSE,"US$synthesis"}</definedName>
    <definedName name="CAUSAL1020" localSheetId="4">[18]ACTvsFST!#REF!</definedName>
    <definedName name="CAUSAL1020">[18]ACTvsFST!#REF!</definedName>
    <definedName name="CAUSAL1020AOP">#REF!</definedName>
    <definedName name="CAUSAL1060" localSheetId="4">[18]ACTvsFST!#REF!</definedName>
    <definedName name="CAUSAL1060">[18]ACTvsFST!#REF!</definedName>
    <definedName name="CAUSAL1060AOP">#REF!</definedName>
    <definedName name="CAUSALAOP">#REF!</definedName>
    <definedName name="CB">#REF!</definedName>
    <definedName name="CGRTIT" localSheetId="4">'[1]Income Statement'!#REF!</definedName>
    <definedName name="CGRTIT">'[1]Income Statement'!#REF!</definedName>
    <definedName name="Change">[17]Category!$H$4</definedName>
    <definedName name="Chargeback">[19]Selection!$B$2:$B$17</definedName>
    <definedName name="Check_Figures" localSheetId="4">#REF!</definedName>
    <definedName name="Check_Figures">#REF!</definedName>
    <definedName name="Chgd">#REF!</definedName>
    <definedName name="Choices_Wrapper">#N/A</definedName>
    <definedName name="cmh">[13]simultaneity!$B$1:$AS$2</definedName>
    <definedName name="COCAP" localSheetId="4">[2]CTS!#REF!</definedName>
    <definedName name="COCAP">[2]CTS!#REF!</definedName>
    <definedName name="Continent">[17]Category!$F$5</definedName>
    <definedName name="contingencies" localSheetId="4">'[20]Economic Data'!#REF!</definedName>
    <definedName name="contingencies">'[20]Economic Data'!#REF!</definedName>
    <definedName name="contingencies1" localSheetId="4">'[20]Economic Data'!#REF!</definedName>
    <definedName name="contingencies1">'[20]Economic Data'!#REF!</definedName>
    <definedName name="contingencies1SBP">#REF!</definedName>
    <definedName name="contingenciesSBP">#REF!</definedName>
    <definedName name="Control">#REF!</definedName>
    <definedName name="conv" localSheetId="4">#REF!</definedName>
    <definedName name="conv">#REF!</definedName>
    <definedName name="Cost_incl_scrap_ind">#REF!</definedName>
    <definedName name="Cost_rise">#REF!</definedName>
    <definedName name="cost_tooling">#REF!</definedName>
    <definedName name="CostCategories">[21]ItemizedExpenditures!$K$3:$K$11</definedName>
    <definedName name="COSTS">#REF!</definedName>
    <definedName name="Country">#REF!</definedName>
    <definedName name="CountryCount">COUNTA(#REF!)</definedName>
    <definedName name="cp">[22]Assumptions!$I$40</definedName>
    <definedName name="CPADB">#REF!</definedName>
    <definedName name="Creat">[23]C2C0!$A$1</definedName>
    <definedName name="Create">[17]Category!$F$2</definedName>
    <definedName name="CRS">#REF!</definedName>
    <definedName name="CTS">#REF!</definedName>
    <definedName name="CTSBAR">#REF!</definedName>
    <definedName name="CUR">#REF!</definedName>
    <definedName name="CURFST">#REF!</definedName>
    <definedName name="Currencies" localSheetId="4">#REF!</definedName>
    <definedName name="Currencies">#REF!</definedName>
    <definedName name="currency">#REF!</definedName>
    <definedName name="CURTB">#REF!</definedName>
    <definedName name="Customer">[24]parameter!$AG$2:$AG$40</definedName>
    <definedName name="customer_tooling">#REF!</definedName>
    <definedName name="d" hidden="1">{#N/A,#N/A,FALSE,"FFM"}</definedName>
    <definedName name="D_Fringe">#REF!</definedName>
    <definedName name="d_heads">#REF!</definedName>
    <definedName name="D_Pipp">#REF!</definedName>
    <definedName name="DailyQuantity">[17]Category!$B$4</definedName>
    <definedName name="DATA_01">#REF!</definedName>
    <definedName name="DATA_02">#REF!</definedName>
    <definedName name="DATA_03" localSheetId="4">#REF!</definedName>
    <definedName name="DATA_03">#REF!</definedName>
    <definedName name="DATA_04">#REF!</definedName>
    <definedName name="DATA_05">#REF!</definedName>
    <definedName name="Data_Input">#REF!</definedName>
    <definedName name="_xlnm.Database">#REF!</definedName>
    <definedName name="date">#REF!</definedName>
    <definedName name="dd" hidden="1">{#N/A,#N/A,FALSE,"FFM"}</definedName>
    <definedName name="deasf" hidden="1">{#N/A,#N/A,FALSE,"AOP vs FORECAST "}</definedName>
    <definedName name="Deprec">#REF!</definedName>
    <definedName name="depreciation" localSheetId="4">'[20]Economic Data'!#REF!</definedName>
    <definedName name="depreciation">'[20]Economic Data'!#REF!</definedName>
    <definedName name="depreciation1" localSheetId="4">'[20]Economic Data'!#REF!</definedName>
    <definedName name="depreciation1">'[20]Economic Data'!#REF!</definedName>
    <definedName name="depreciation1SBP">#REF!</definedName>
    <definedName name="depreciationSBP">#REF!</definedName>
    <definedName name="Design_level">#REF!</definedName>
    <definedName name="DESTAGAINST">#REF!</definedName>
    <definedName name="DESTSOURCE">#REF!</definedName>
    <definedName name="development_cost" localSheetId="4">'[20]Economic Data'!#REF!</definedName>
    <definedName name="development_cost">'[20]Economic Data'!#REF!</definedName>
    <definedName name="development_costSBP">#REF!</definedName>
    <definedName name="df" localSheetId="4">#REF!</definedName>
    <definedName name="df">#REF!</definedName>
    <definedName name="dfhhdfj">#REF!</definedName>
    <definedName name="direct_labor_cost" localSheetId="4">'[20]Economic Data'!#REF!</definedName>
    <definedName name="direct_labor_cost">'[20]Economic Data'!#REF!</definedName>
    <definedName name="direct_labor_cost1" localSheetId="4">'[20]Economic Data'!#REF!</definedName>
    <definedName name="direct_labor_cost1">'[20]Economic Data'!#REF!</definedName>
    <definedName name="direct_labor_cost1SBP">#REF!</definedName>
    <definedName name="direct_labor_costSBP">#REF!</definedName>
    <definedName name="direct_labor_per_unit" localSheetId="4">'[20]Economic Data'!#REF!</definedName>
    <definedName name="direct_labor_per_unit">'[20]Economic Data'!#REF!</definedName>
    <definedName name="direct_labor_per_unit1" localSheetId="4">'[20]Economic Data'!#REF!</definedName>
    <definedName name="direct_labor_per_unit1">'[20]Economic Data'!#REF!</definedName>
    <definedName name="direct_labor_per_unit1SBP">#REF!</definedName>
    <definedName name="direct_labor_per_unitSBP">#REF!</definedName>
    <definedName name="Direct_Pay">#REF!</definedName>
    <definedName name="dlhours">'[25]DL Hours'!$M$11</definedName>
    <definedName name="dlrate">'[25]DL Hours'!$O$17</definedName>
    <definedName name="DM" localSheetId="4">#REF!</definedName>
    <definedName name="DM">#REF!</definedName>
    <definedName name="DM_FF">[26]Summary!$H$56</definedName>
    <definedName name="dmaop" localSheetId="4">#REF!</definedName>
    <definedName name="dmaop">#REF!</definedName>
    <definedName name="dmfy">[14]KEYISS!$H$9</definedName>
    <definedName name="Dollars">#REF!</definedName>
    <definedName name="done" localSheetId="4">#REF!</definedName>
    <definedName name="done">#REF!</definedName>
    <definedName name="drgif" localSheetId="4">[27]Margins!#REF!</definedName>
    <definedName name="drgif">[27]Margins!#REF!</definedName>
    <definedName name="drmex" localSheetId="4">[27]Margins!#REF!</definedName>
    <definedName name="drmex">[27]Margins!#REF!</definedName>
    <definedName name="duties">[28]parameter!$AV$2:$AW$41</definedName>
    <definedName name="duties1">[24]parameter!$AV$2:$AV$40</definedName>
    <definedName name="DV">#REF!</definedName>
    <definedName name="Dwg_No_Part_No">#REF!</definedName>
    <definedName name="e">#REF!</definedName>
    <definedName name="edh" hidden="1">{#N/A,#N/A,FALSE,"Cover Sheet";#N/A,#N/A,FALSE,"General Information";#N/A,#N/A,FALSE,"D186 Attendence";#N/A,#N/A,FALSE,"Open Concerns &amp; 8D's";#N/A,#N/A,FALSE,"Proto &amp; Pre-Prod Volumes";#N/A,#N/A,FALSE,"Engineering Change Matrix";#N/A,#N/A,FALSE,"D186 Open Issues";#N/A,#N/A,FALSE,"D186 Parts Tracking Matrix";#N/A,#N/A,FALSE,"PTS Status"}</definedName>
    <definedName name="Electric">#REF!</definedName>
    <definedName name="elimact">#REF!</definedName>
    <definedName name="elimaop">#REF!</definedName>
    <definedName name="elimfc">#REF!</definedName>
    <definedName name="ELIMFY">#REF!</definedName>
    <definedName name="elimytd">#REF!</definedName>
    <definedName name="email">#REF!</definedName>
    <definedName name="EPF">MROUND('[29]ESI_PF Reg'!XFD1-'[29]ESI_PF Reg'!B1,1)</definedName>
    <definedName name="ESI">CEILING('[29]ESI_PF Reg'!XFD1*0.0175,0.05)</definedName>
    <definedName name="ESI_1" function="1" xlm="1">CEILING([30]F7!XFD1*0.0175,0.05)</definedName>
    <definedName name="ESSAI" description="Macro recorded 28/02/97 by ROCKWELL LVS (UK) LTD" xlm="1">#REF!</definedName>
    <definedName name="ET">#REF!</definedName>
    <definedName name="EU" localSheetId="4">#REF!</definedName>
    <definedName name="EU">#REF!</definedName>
    <definedName name="euro" localSheetId="4">'[31]Volumen AOP 2004'!#REF!</definedName>
    <definedName name="euro">'[31]Volumen AOP 2004'!#REF!</definedName>
    <definedName name="ex">'[32]Orion FD std'!$E$47</definedName>
    <definedName name="exch">#REF!</definedName>
    <definedName name="Exchange">#REF!</definedName>
    <definedName name="exd">#REF!</definedName>
    <definedName name="EXEC" localSheetId="4">'[33]Burden exp'!#REF!</definedName>
    <definedName name="EXEC">'[33]Burden exp'!#REF!</definedName>
    <definedName name="exf">#REF!</definedName>
    <definedName name="exfcst">#REF!</definedName>
    <definedName name="exj">#REF!</definedName>
    <definedName name="exn">#REF!</definedName>
    <definedName name="exo">#REF!</definedName>
    <definedName name="f" localSheetId="4">#REF!</definedName>
    <definedName name="f">#REF!</definedName>
    <definedName name="F1_">#REF!</definedName>
    <definedName name="FA">#REF!</definedName>
    <definedName name="Family_Type">'[12]Part Name &amp; Type Family'!$J$4:$J$54</definedName>
    <definedName name="fax">#REF!</definedName>
    <definedName name="FB">#REF!</definedName>
    <definedName name="FC">#REF!</definedName>
    <definedName name="FCRATE">'[34]AOP FY 99'!$AN$8</definedName>
    <definedName name="Fcst_AOP" localSheetId="4">'[35]AOP INPUT - local currency'!#REF!</definedName>
    <definedName name="Fcst_AOP">'[35]AOP INPUT - local currency'!#REF!</definedName>
    <definedName name="FCST03" hidden="1">{#N/A,#N/A,FALSE,"Full Year";#N/A,#N/A,FALSE,"Oct";#N/A,#N/A,FALSE,"Nov";#N/A,#N/A,FALSE,"Dec";#N/A,#N/A,FALSE,"Jan";#N/A,#N/A,FALSE,"Feb";#N/A,#N/A,FALSE,"Mar";#N/A,#N/A,FALSE,"Apr";#N/A,#N/A,FALSE,"May";#N/A,#N/A,FALSE,"Jun";#N/A,#N/A,FALSE,"Jul";#N/A,#N/A,FALSE,"Aug";#N/A,#N/A,FALSE,"Sep"}</definedName>
    <definedName name="ff" hidden="1">{#N/A,#N/A,FALSE,"FFM"}</definedName>
    <definedName name="FF_DM">#REF!</definedName>
    <definedName name="ffaop">[14]KEYISS!$E$11</definedName>
    <definedName name="FFFFFFFFFFFFFFF" hidden="1">{#N/A,#N/A,FALSE,"Full Year";#N/A,#N/A,FALSE,"Oct";#N/A,#N/A,FALSE,"Nov";#N/A,#N/A,FALSE,"Dec";#N/A,#N/A,FALSE,"Jan";#N/A,#N/A,FALSE,"Feb";#N/A,#N/A,FALSE,"Mar";#N/A,#N/A,FALSE,"Apr";#N/A,#N/A,FALSE,"May";#N/A,#N/A,FALSE,"Jun";#N/A,#N/A,FALSE,"Jul";#N/A,#N/A,FALSE,"Aug";#N/A,#N/A,FALSE,"Sep"}</definedName>
    <definedName name="fffy">[14]KEYISS!$H$11</definedName>
    <definedName name="ffm">#REF!</definedName>
    <definedName name="FirstLine">#REF!</definedName>
    <definedName name="FIXED">#REF!</definedName>
    <definedName name="FLASH">#REF!</definedName>
    <definedName name="ForeignFitch" localSheetId="4">'[36]Credit Ratings'!#REF!</definedName>
    <definedName name="ForeignFitch">'[36]Credit Ratings'!#REF!</definedName>
    <definedName name="FORM">#REF!</definedName>
    <definedName name="Formula1">#REF!</definedName>
    <definedName name="Formulas">#REF!</definedName>
    <definedName name="FP">IF('[29]ESI_PF Reg'!XFB1&gt;5000,417,MROUND('[29]ESI_PF Reg'!XFB1*0.083333,1))</definedName>
    <definedName name="Francs">#REF!</definedName>
    <definedName name="FREQ">#REF!</definedName>
    <definedName name="Function1">#REF!</definedName>
    <definedName name="Function2">#REF!</definedName>
    <definedName name="Function3">#REF!</definedName>
    <definedName name="Function4">#REF!</definedName>
    <definedName name="Function5">#REF!</definedName>
    <definedName name="Function6">#REF!</definedName>
    <definedName name="Function7">#REF!</definedName>
    <definedName name="fxgfxgffgh" hidden="1">{#N/A,#N/A,FALSE,"FFsynthesis";#N/A,#N/A,FALSE,"US$synthesis"}</definedName>
    <definedName name="FY2002_Cap">#REF!</definedName>
    <definedName name="FY2002_Sum">#REF!</definedName>
    <definedName name="G">#REF!</definedName>
    <definedName name="GA">#REF!</definedName>
    <definedName name="GB">#REF!</definedName>
    <definedName name="GBA" localSheetId="4">'[37]Recon96-97'!#REF!</definedName>
    <definedName name="GBA">'[37]Recon96-97'!#REF!</definedName>
    <definedName name="GC">#REF!</definedName>
    <definedName name="gebuchteMPV">#REF!</definedName>
    <definedName name="GGGGGGGGGGGGG" hidden="1">{#N/A,#N/A,FALSE,"AOP vs FORECAST "}</definedName>
    <definedName name="gh" localSheetId="4">#REF!</definedName>
    <definedName name="gh">#REF!</definedName>
    <definedName name="gpe" localSheetId="4">#REF!</definedName>
    <definedName name="gpe">#REF!</definedName>
    <definedName name="gsss" localSheetId="4">'[38]1020 FF'!#REF!</definedName>
    <definedName name="gsss">'[38]1020 FF'!#REF!</definedName>
    <definedName name="H">#REF!</definedName>
    <definedName name="Headcount">#REF!</definedName>
    <definedName name="Header">#REF!</definedName>
    <definedName name="Header_Mat_width">#REF!</definedName>
    <definedName name="Header_Scrap_ind">#REF!</definedName>
    <definedName name="Heads_Total">#REF!</definedName>
    <definedName name="hh" hidden="1">{#N/A,#N/A,FALSE,"AOP vs FORECAST "}</definedName>
    <definedName name="HML">[16]Lookups!$A$1:$A$3</definedName>
    <definedName name="HPDATA">#REF!</definedName>
    <definedName name="HTML_CodePage" hidden="1">1252</definedName>
    <definedName name="HTML_Control" hidden="1">{"'Income Statement'!$A$1:$L$32"}</definedName>
    <definedName name="HTML_Description" hidden="1">""</definedName>
    <definedName name="HTML_Email" hidden="1">""</definedName>
    <definedName name="HTML_Header" hidden="1">"Customer Financial Analysis"</definedName>
    <definedName name="HTML_LastUpdate" hidden="1">"4/19/99"</definedName>
    <definedName name="HTML_LineAfter" hidden="1">FALSE</definedName>
    <definedName name="HTML_LineBefore" hidden="1">FALSE</definedName>
    <definedName name="HTML_Name" hidden="1">"Terry Callahan"</definedName>
    <definedName name="HTML_OBDlg2" hidden="1">TRUE</definedName>
    <definedName name="HTML_OBDlg4" hidden="1">TRUE</definedName>
    <definedName name="HTML_OS" hidden="1">0</definedName>
    <definedName name="HTML_PathFile" hidden="1">"C:\My Documents\EXCEL\crf spread Income Statement.htm"</definedName>
    <definedName name="HTML_Title" hidden="1">"Credit Research Foundation"</definedName>
    <definedName name="HU_included">#REF!</definedName>
    <definedName name="I" localSheetId="4">[39]DIRECT!#REF!</definedName>
    <definedName name="I">[39]DIRECT!#REF!</definedName>
    <definedName name="I_Fringe">#REF!</definedName>
    <definedName name="I_Pipp">#REF!</definedName>
    <definedName name="ID_Heads">#REF!</definedName>
    <definedName name="in_Euros">#REF!</definedName>
    <definedName name="in_USD" localSheetId="4">#REF!</definedName>
    <definedName name="in_USD">#REF!</definedName>
    <definedName name="incremental_margins" localSheetId="4">'[20]Economic Data'!#REF!</definedName>
    <definedName name="incremental_margins">'[20]Economic Data'!#REF!</definedName>
    <definedName name="incremental_margins1" localSheetId="4">'[20]Economic Data'!#REF!</definedName>
    <definedName name="incremental_margins1">'[20]Economic Data'!#REF!</definedName>
    <definedName name="incremental_margins1SBP">#REF!</definedName>
    <definedName name="incremental_marginsSBP">#REF!</definedName>
    <definedName name="INCTIT" localSheetId="4">'[1]Income Statement'!#REF!</definedName>
    <definedName name="INCTIT">'[1]Income Statement'!#REF!</definedName>
    <definedName name="INCYTD">[40]INCOME!$C$9:$C$13,[40]INCOME!$C$15:$C$21,[40]INCOME!$C$16:$C$26,[40]INCOME!$C$28:$C$33,[40]INCOME!$C$37:$C$42,[40]INCOME!$C$48:$C$49,[40]INCOME!$C$43:$C$46,[40]INCOME!$C$52:$C$54</definedName>
    <definedName name="Indir7501">'[8]Sal &amp; Wage Info'!$F$27</definedName>
    <definedName name="Indir7550">'[8]Sal &amp; Wage Info'!$F$33</definedName>
    <definedName name="Indir7571">'[8]Sal &amp; Wage Info'!$F$36</definedName>
    <definedName name="Indirect_Pay">#REF!</definedName>
    <definedName name="INPUT">#REF!</definedName>
    <definedName name="insert2" customMenu="INSERT2" description="Macro enregistrée le 26/06/98 par Rockwell Sully" help="!" xlm="1">#REF!</definedName>
    <definedName name="INSERT2_SBP_ECODATA" description="Macro enregistrée le 17/07/98 par Rockwell Sully" xlm="1">#REF!</definedName>
    <definedName name="Insurance">#REF!</definedName>
    <definedName name="INTERN">'[41]Doors-TBH(Internship)'!$O$4</definedName>
    <definedName name="IntroPrintArea">#REF!</definedName>
    <definedName name="INVALID_VEND">#REF!</definedName>
    <definedName name="investment_for_production">#REF!</definedName>
    <definedName name="iv" localSheetId="4">#REF!</definedName>
    <definedName name="iv">#REF!</definedName>
    <definedName name="J">#REF!</definedName>
    <definedName name="jim" localSheetId="4">#REF!</definedName>
    <definedName name="jim">#REF!</definedName>
    <definedName name="K">#REF!</definedName>
    <definedName name="K_1">#REF!</definedName>
    <definedName name="K_1A">#REF!</definedName>
    <definedName name="K_2">#REF!</definedName>
    <definedName name="K_2A">#REF!</definedName>
    <definedName name="K_2DET">#REF!</definedName>
    <definedName name="K_3">#REF!</definedName>
    <definedName name="K_HELLO">#REF!</definedName>
    <definedName name="kkkkkkkkkkkkkkkk" hidden="1">{#N/A,#N/A,FALSE,"FFM"}</definedName>
    <definedName name="L">#REF!</definedName>
    <definedName name="LABORPERF" hidden="1">{#N/A,#N/A,FALSE,"FFsynthesis";#N/A,#N/A,FALSE,"US$synthesis"}</definedName>
    <definedName name="LastLine">#REF!</definedName>
    <definedName name="LAUNCH">#REF!</definedName>
    <definedName name="LEAD">#REF!</definedName>
    <definedName name="Level" localSheetId="4">#REF!</definedName>
    <definedName name="Level">#REF!</definedName>
    <definedName name="Line_name">#REF!</definedName>
    <definedName name="Linkcell">#REF!</definedName>
    <definedName name="liste" localSheetId="4">'[24]components toolings'!#REF!</definedName>
    <definedName name="liste">'[24]components toolings'!#REF!</definedName>
    <definedName name="loc">#REF!</definedName>
    <definedName name="LocalFitch" localSheetId="4">'[36]Credit Ratings'!#REF!</definedName>
    <definedName name="LocalFitch">'[36]Credit Ratings'!#REF!</definedName>
    <definedName name="Look1Area">#REF!</definedName>
    <definedName name="Look2Area">#REF!</definedName>
    <definedName name="Look3Area">#REF!</definedName>
    <definedName name="Look4Area">#REF!</definedName>
    <definedName name="Look5Area">#REF!</definedName>
    <definedName name="lva">#REF!</definedName>
    <definedName name="LVS_Legacy">#REF!</definedName>
    <definedName name="LVS_Total">#REF!</definedName>
    <definedName name="M">'[42]AOP Exec Summary'!$N$5</definedName>
    <definedName name="Macro2" description="Macro recorded 28/02/97 by ROCKWELL LVS (UK) LTD" xlm="1">#REF!</definedName>
    <definedName name="Macro3" description="Macro recorded 27/02/97 by J-LUC MUNIER   ROCKWELL LVS (UK) LTD" help="!" xlm="1">#REF!</definedName>
    <definedName name="Macro8" description="Macro recorded 28/02/97 by ROCKWELL LVS (UK) LTD" xlm="1">#REF!</definedName>
    <definedName name="man_plate_assy">[28]parameter!$AK$4:$AO$43</definedName>
    <definedName name="man_plate_assy1">[24]parameter!$AK$4:$AK$42</definedName>
    <definedName name="Manufacturing_Rate">[28]parameter!$C$4:$L$102</definedName>
    <definedName name="MANUFACTURING_RATE1">[24]parameter!$C$4:$C$72</definedName>
    <definedName name="margin_per_unit" localSheetId="4">'[20]Economic Data'!#REF!</definedName>
    <definedName name="margin_per_unit">'[20]Economic Data'!#REF!</definedName>
    <definedName name="margin_per_unit_full_costing" localSheetId="4">'[20]Economic Data'!#REF!</definedName>
    <definedName name="margin_per_unit_full_costing">'[20]Economic Data'!#REF!</definedName>
    <definedName name="margin_per_unit_full_costing1" localSheetId="4">'[20]Economic Data'!#REF!</definedName>
    <definedName name="margin_per_unit_full_costing1">'[20]Economic Data'!#REF!</definedName>
    <definedName name="margin_per_unit_full_costing1SBP">#REF!</definedName>
    <definedName name="margin_per_unit_full_costingSBP">#REF!</definedName>
    <definedName name="margin_per_unit1" localSheetId="4">'[20]Economic Data'!#REF!</definedName>
    <definedName name="margin_per_unit1">'[20]Economic Data'!#REF!</definedName>
    <definedName name="margin_per_unit1SBP">#REF!</definedName>
    <definedName name="margin_per_unit2" localSheetId="4">'[20]Economic Data'!#REF!</definedName>
    <definedName name="margin_per_unit2">'[20]Economic Data'!#REF!</definedName>
    <definedName name="margin_per_unit21" localSheetId="4">'[20]Economic Data'!#REF!</definedName>
    <definedName name="margin_per_unit21">'[20]Economic Data'!#REF!</definedName>
    <definedName name="margin_per_unit21SBP">#REF!</definedName>
    <definedName name="margin_per_unit2SBP">#REF!</definedName>
    <definedName name="margin_per_unitSBP">#REF!</definedName>
    <definedName name="margins">#REF!</definedName>
    <definedName name="marginsSBP">#REF!</definedName>
    <definedName name="Mat_Cost">#REF!</definedName>
    <definedName name="Mat_CostA1">#REF!</definedName>
    <definedName name="Mat_CostSum">#REF!</definedName>
    <definedName name="MAT_Width">#REF!</definedName>
    <definedName name="Material_Code">#REF!</definedName>
    <definedName name="material_cost" localSheetId="4">'[20]Economic Data'!#REF!</definedName>
    <definedName name="material_cost">'[20]Economic Data'!#REF!</definedName>
    <definedName name="material_cost_per_unit" localSheetId="4">'[20]Economic Data'!#REF!</definedName>
    <definedName name="material_cost_per_unit">'[20]Economic Data'!#REF!</definedName>
    <definedName name="material_cost_per_unit1" localSheetId="4">'[43]Economic Data'!#REF!</definedName>
    <definedName name="material_cost_per_unit1">'[43]Economic Data'!#REF!</definedName>
    <definedName name="material_cost_per_unit1SBP">#REF!</definedName>
    <definedName name="material_cost_per_unitSBP">#REF!</definedName>
    <definedName name="material_cost1" localSheetId="4">'[20]Economic Data'!#REF!</definedName>
    <definedName name="material_cost1">'[20]Economic Data'!#REF!</definedName>
    <definedName name="material_cost1SBP">#REF!</definedName>
    <definedName name="material_costSBP">#REF!</definedName>
    <definedName name="Material_Group">#REF!</definedName>
    <definedName name="material_type">'[24]Prix HA'!$D$8:$D$286</definedName>
    <definedName name="material_type1">'[28]Prix HA'!$D$6:$K$327</definedName>
    <definedName name="ME">#REF!</definedName>
    <definedName name="MFG">#REF!</definedName>
    <definedName name="MFGPRF">#REF!</definedName>
    <definedName name="mKACF">#REF!</definedName>
    <definedName name="MMM">'[44]AOP Exec Summary'!$N$5</definedName>
    <definedName name="Modify">[17]Category!$F$4</definedName>
    <definedName name="Module_Name">[24]parameter!$AE$2:$AE$17</definedName>
    <definedName name="Money">[17]Category!$H$2</definedName>
    <definedName name="month">#REF!</definedName>
    <definedName name="MSS">#REF!</definedName>
    <definedName name="MSTR">#REF!</definedName>
    <definedName name="MTH_T1">'[45]1020'!$B$7</definedName>
    <definedName name="MTH_T2">'[45]1020'!$G$7</definedName>
    <definedName name="MTHLABEL">#REF!</definedName>
    <definedName name="MUFFL" localSheetId="4">#REF!</definedName>
    <definedName name="MUFFL">#REF!</definedName>
    <definedName name="MUFFLRECN" localSheetId="4">#REF!</definedName>
    <definedName name="MUFFLRECN">#REF!</definedName>
    <definedName name="N">#REF!</definedName>
    <definedName name="NAE">#REF!</definedName>
    <definedName name="NAEVSAOP">#REF!</definedName>
    <definedName name="NAME">#REF!</definedName>
    <definedName name="names">#REF!</definedName>
    <definedName name="NameTitle">#REF!</definedName>
    <definedName name="NAPM">'[10]GR sign Off'!$A$38:$AB$39</definedName>
    <definedName name="Nat_Gas">#REF!</definedName>
    <definedName name="NEW">#REF!</definedName>
    <definedName name="new_name" hidden="1">{#N/A,#N/A,FALSE,"FFM"}</definedName>
    <definedName name="New_req_cust">#REF!</definedName>
    <definedName name="NEWFILE">#REF!</definedName>
    <definedName name="NEWNAME" localSheetId="4">[2]CTS!#REF!</definedName>
    <definedName name="NEWNAME">[2]CTS!#REF!</definedName>
    <definedName name="nomenclature">#REF!</definedName>
    <definedName name="o" hidden="1">{#N/A,#N/A,FALSE,"FFM"}</definedName>
    <definedName name="OCFTIT" localSheetId="4">#REF!</definedName>
    <definedName name="OCFTIT">#REF!</definedName>
    <definedName name="OEM">[19]Selection!$A$2:$A$11</definedName>
    <definedName name="OFFLINE">#REF!</definedName>
    <definedName name="ONE">#REF!</definedName>
    <definedName name="ONEHALF">#REF!</definedName>
    <definedName name="ooooooooooooooo" hidden="1">{#N/A,#N/A,FALSE,"FFM"}</definedName>
    <definedName name="OPCTIT" localSheetId="4">#REF!</definedName>
    <definedName name="OPCTIT">#REF!</definedName>
    <definedName name="OPTION">#REF!</definedName>
    <definedName name="OTHER">#REF!</definedName>
    <definedName name="oui_non">[46]JIT!$V$22:$V$23</definedName>
    <definedName name="OUTSOURCE">#REF!</definedName>
    <definedName name="overhead_cost_fully_loaded_rates" localSheetId="4">'[20]Economic Data'!#REF!</definedName>
    <definedName name="overhead_cost_fully_loaded_rates">'[20]Economic Data'!#REF!</definedName>
    <definedName name="overhead_cost_fully_loaded_rates1" localSheetId="4">'[20]Economic Data'!#REF!</definedName>
    <definedName name="overhead_cost_fully_loaded_rates1">'[20]Economic Data'!#REF!</definedName>
    <definedName name="overhead_cost_fully_loaded_rates1SBP">#REF!</definedName>
    <definedName name="overhead_cost_fully_loaded_ratesSBP">#REF!</definedName>
    <definedName name="Owner" localSheetId="4">[47]Container!#REF!</definedName>
    <definedName name="Owner">[47]Container!#REF!</definedName>
    <definedName name="P">#REF!</definedName>
    <definedName name="P_AOP">#REF!</definedName>
    <definedName name="P_CAUSAL">#REF!</definedName>
    <definedName name="P_CURFST">#REF!</definedName>
    <definedName name="P_PRIFST">#REF!</definedName>
    <definedName name="P_PRIORY">#REF!</definedName>
    <definedName name="pa" localSheetId="4">#REF!</definedName>
    <definedName name="pa">#REF!</definedName>
    <definedName name="PACKAGING1">[28]parameter!$AK$5:$AO$43</definedName>
    <definedName name="page2">#REF!</definedName>
    <definedName name="page3" localSheetId="4">#REF!</definedName>
    <definedName name="page3">#REF!</definedName>
    <definedName name="paps" hidden="1">{#N/A,#N/A,FALSE,"cover";#N/A,#N/A,FALSE,"dist. list";#N/A,#N/A,FALSE,"Open Issues"}</definedName>
    <definedName name="Part_Name">'[12]Part Name &amp; Type Family'!$I$4:$I$18</definedName>
    <definedName name="PATENTS" localSheetId="4">#REF!</definedName>
    <definedName name="PATENTS">#REF!</definedName>
    <definedName name="PCode">[17]Category!$B$1</definedName>
    <definedName name="PDPNumber">[17]Category!$D$1</definedName>
    <definedName name="PER">#REF!</definedName>
    <definedName name="Perc_Cost">#REF!</definedName>
    <definedName name="PERFTAX">#REF!</definedName>
    <definedName name="PERIODE">#REF!</definedName>
    <definedName name="PERIODS" localSheetId="4">#REF!</definedName>
    <definedName name="PERIODS">#REF!</definedName>
    <definedName name="pesoaop">[14]KEYISS!$E$12</definedName>
    <definedName name="pesofy">[14]KEYISS!$H$12</definedName>
    <definedName name="PF">MROUND('[29]ESI_PF Reg'!XFD1*0.12,1)</definedName>
    <definedName name="PF_File">#REF!</definedName>
    <definedName name="PFHEW" localSheetId="4">'[37]A1 ESI_Mar97'!#REF!</definedName>
    <definedName name="PFHEW">'[37]A1 ESI_Mar97'!#REF!</definedName>
    <definedName name="PFSRC" localSheetId="4">'[37]A1 ESI_Mar97'!#REF!</definedName>
    <definedName name="PFSRC">'[37]A1 ESI_Mar97'!#REF!</definedName>
    <definedName name="phone">#REF!</definedName>
    <definedName name="Plant">[48]Parameter!$D$4:$D$34</definedName>
    <definedName name="Plant_name">'[12]ARM plants'!$A$5:$A$21</definedName>
    <definedName name="PM">[17]Category!$D$6</definedName>
    <definedName name="PName">[17]Category!$A$2</definedName>
    <definedName name="Pocket_D" localSheetId="4">[47]Container!#REF!</definedName>
    <definedName name="Pocket_D">[47]Container!#REF!</definedName>
    <definedName name="Pocket_H" localSheetId="4">[47]Container!#REF!</definedName>
    <definedName name="Pocket_H">[47]Container!#REF!</definedName>
    <definedName name="Pocket_W" localSheetId="4">[47]Container!#REF!</definedName>
    <definedName name="Pocket_W">[47]Container!#REF!</definedName>
    <definedName name="Pos">#REF!</definedName>
    <definedName name="Positions">#REF!</definedName>
    <definedName name="POSSIBLILITY">#REF!</definedName>
    <definedName name="PPAP">[17]Category!$D$3</definedName>
    <definedName name="PPBT" localSheetId="4">#REF!</definedName>
    <definedName name="PPBT">#REF!</definedName>
    <definedName name="Prev_concept_ID">#REF!</definedName>
    <definedName name="PRI">#REF!</definedName>
    <definedName name="price_per_unit" localSheetId="4">'[20]Economic Data'!#REF!</definedName>
    <definedName name="price_per_unit">'[20]Economic Data'!#REF!</definedName>
    <definedName name="price_per_unit1" localSheetId="4">'[43]Economic Data'!#REF!</definedName>
    <definedName name="price_per_unit1">'[43]Economic Data'!#REF!</definedName>
    <definedName name="price_per_unit1SBP">#REF!</definedName>
    <definedName name="price_per_unitSBP">#REF!</definedName>
    <definedName name="PRIFST">#REF!</definedName>
    <definedName name="_xlnm.Print_Area" localSheetId="4">'Eng 76100(K01) upload'!$A$1:$T$91</definedName>
    <definedName name="_xlnm.Print_Area" localSheetId="5">'RGM10-FY26 Korea'!$A$1:$AH$103</definedName>
    <definedName name="_xlnm.Print_Area">#REF!</definedName>
    <definedName name="Print_Area_MI">#REF!</definedName>
    <definedName name="Print_Area1">#REF!</definedName>
    <definedName name="PRINTER">#REF!</definedName>
    <definedName name="PRIORY">#REF!</definedName>
    <definedName name="PRIX_HA_NEGOCIES">'[28]Prix HA'!$C$6:$H$325</definedName>
    <definedName name="PRIX_HA_NEGOCIES1">'[24]Prix HA'!$C$8:$C$284</definedName>
    <definedName name="pro">#REF!</definedName>
    <definedName name="PROD">#REF!</definedName>
    <definedName name="Product">[19]Selection!$D$2:$D$3</definedName>
    <definedName name="Productlines">#REF!</definedName>
    <definedName name="Program">[19]Selection!$E$2:$E$17</definedName>
    <definedName name="Project_name">'[49]Summary Como'!$B$8</definedName>
    <definedName name="Project_No">#REF!</definedName>
    <definedName name="ProjectNo">#REF!</definedName>
    <definedName name="prototypes_cost" localSheetId="4">'[20]Economic Data'!#REF!</definedName>
    <definedName name="prototypes_cost">'[20]Economic Data'!#REF!</definedName>
    <definedName name="prototypes_costSBP">#REF!</definedName>
    <definedName name="prototypes_sales" localSheetId="4">'[20]Economic Data'!#REF!</definedName>
    <definedName name="prototypes_sales">'[20]Economic Data'!#REF!</definedName>
    <definedName name="prototypes_salesSBP">#REF!</definedName>
    <definedName name="prototypes_tooling_sales" localSheetId="4">'[20]Economic Data'!#REF!</definedName>
    <definedName name="prototypes_tooling_sales">'[20]Economic Data'!#REF!</definedName>
    <definedName name="prototypes_tooling_salesSBP">#REF!</definedName>
    <definedName name="prototypes_toolings_cost" localSheetId="4">'[20]Economic Data'!#REF!</definedName>
    <definedName name="prototypes_toolings_cost">'[20]Economic Data'!#REF!</definedName>
    <definedName name="prototypes_toolings_costSBP">#REF!</definedName>
    <definedName name="PRX">#REF!</definedName>
    <definedName name="psaop" localSheetId="4">#REF!</definedName>
    <definedName name="psaop">#REF!</definedName>
    <definedName name="psfy">[14]KEYISS!$H$10</definedName>
    <definedName name="PT">[17]Category!$D$4</definedName>
    <definedName name="ptasaop">[14]KEYISS!$E$13</definedName>
    <definedName name="ptasfy">[14]KEYISS!$H$13</definedName>
    <definedName name="PTT">[17]Category!$D$5</definedName>
    <definedName name="q" hidden="1">{#N/A,#N/A,FALSE,"Full Year";#N/A,#N/A,FALSE,"Oct";#N/A,#N/A,FALSE,"Nov";#N/A,#N/A,FALSE,"Dec";#N/A,#N/A,FALSE,"Jan";#N/A,#N/A,FALSE,"Feb";#N/A,#N/A,FALSE,"Mar";#N/A,#N/A,FALSE,"Apr";#N/A,#N/A,FALSE,"May";#N/A,#N/A,FALSE,"Jun";#N/A,#N/A,FALSE,"Jul";#N/A,#N/A,FALSE,"Aug";#N/A,#N/A,FALSE,"Sep"}</definedName>
    <definedName name="Q_NOTES" localSheetId="4">#REF!</definedName>
    <definedName name="Q_NOTES">#REF!</definedName>
    <definedName name="Q_NOTES_INPUT">#REF!</definedName>
    <definedName name="QBPRF">#REF!</definedName>
    <definedName name="QBW">#REF!</definedName>
    <definedName name="qqqqqqqqq" hidden="1">{#N/A,#N/A,FALSE,"AOP vs FORECAST "}</definedName>
    <definedName name="QSDLH">#REF!</definedName>
    <definedName name="Qtty">#REF!</definedName>
    <definedName name="QUALITY2" localSheetId="4">'[1]Balance Sheet'!#REF!</definedName>
    <definedName name="QUALITY2">'[1]Balance Sheet'!#REF!</definedName>
    <definedName name="Quantity">[17]Category!$B$3</definedName>
    <definedName name="que" localSheetId="4">#REF!</definedName>
    <definedName name="que">#REF!</definedName>
    <definedName name="QUICK">#REF!</definedName>
    <definedName name="QUL">#REF!</definedName>
    <definedName name="R_">#REF!</definedName>
    <definedName name="RATE">0.68</definedName>
    <definedName name="RECN" localSheetId="4">#REF!</definedName>
    <definedName name="RECN">#REF!</definedName>
    <definedName name="recon" localSheetId="4">#REF!</definedName>
    <definedName name="recon">#REF!</definedName>
    <definedName name="_xlnm.Recorder">#REF!</definedName>
    <definedName name="redacbom">[50]CALCUL!$A$22:$A$27</definedName>
    <definedName name="RefPPM">#REF!</definedName>
    <definedName name="Release">[17]Category!$H$5</definedName>
    <definedName name="Report">#REF!</definedName>
    <definedName name="RESET">#REF!</definedName>
    <definedName name="Resp_Eng" localSheetId="4">#REF!</definedName>
    <definedName name="Resp_Eng">#REF!</definedName>
    <definedName name="RESULT">#REF!</definedName>
    <definedName name="roof" localSheetId="4">#REF!</definedName>
    <definedName name="roof">#REF!</definedName>
    <definedName name="Routing">#REF!</definedName>
    <definedName name="Rqd_part">#REF!</definedName>
    <definedName name="Rqd_Pos0">#REF!</definedName>
    <definedName name="rupt" localSheetId="4">#REF!</definedName>
    <definedName name="rupt">#REF!</definedName>
    <definedName name="s">#REF!</definedName>
    <definedName name="S_Fringe">#REF!</definedName>
    <definedName name="S_Heads">#REF!</definedName>
    <definedName name="S_Pipp">#REF!</definedName>
    <definedName name="safe" hidden="1">{#N/A,#N/A,FALSE,"FFsynthesis";#N/A,#N/A,FALSE,"US$synthesis"}</definedName>
    <definedName name="safe1" hidden="1">{#N/A,#N/A,FALSE,"FFM"}</definedName>
    <definedName name="safe2" hidden="1">{#N/A,#N/A,FALSE,"AOP vs FORECAST "}</definedName>
    <definedName name="safe3" hidden="1">{#N/A,#N/A,FALSE,"FFM"}</definedName>
    <definedName name="safe4" hidden="1">{#N/A,#N/A,FALSE,"Full Year";#N/A,#N/A,FALSE,"Oct";#N/A,#N/A,FALSE,"Nov";#N/A,#N/A,FALSE,"Dec";#N/A,#N/A,FALSE,"Jan";#N/A,#N/A,FALSE,"Feb";#N/A,#N/A,FALSE,"Mar";#N/A,#N/A,FALSE,"Apr";#N/A,#N/A,FALSE,"May";#N/A,#N/A,FALSE,"Jun";#N/A,#N/A,FALSE,"Jul";#N/A,#N/A,FALSE,"Aug";#N/A,#N/A,FALSE,"Sep"}</definedName>
    <definedName name="safe5" hidden="1">{#N/A,#N/A,FALSE,"FFsynthesis";#N/A,#N/A,FALSE,"US$synthesis"}</definedName>
    <definedName name="safety" hidden="1">{#N/A,#N/A,FALSE,"Full Year";#N/A,#N/A,FALSE,"Oct";#N/A,#N/A,FALSE,"Nov";#N/A,#N/A,FALSE,"Dec";#N/A,#N/A,FALSE,"Jan";#N/A,#N/A,FALSE,"Feb";#N/A,#N/A,FALSE,"Mar";#N/A,#N/A,FALSE,"Apr";#N/A,#N/A,FALSE,"May";#N/A,#N/A,FALSE,"Jun";#N/A,#N/A,FALSE,"Jul";#N/A,#N/A,FALSE,"Aug";#N/A,#N/A,FALSE,"Sep"}</definedName>
    <definedName name="Salaries">#REF!</definedName>
    <definedName name="sales" localSheetId="4">'[20]Economic Data'!#REF!</definedName>
    <definedName name="sales">'[20]Economic Data'!#REF!</definedName>
    <definedName name="SALES1">#REF!</definedName>
    <definedName name="sales1SBP">#REF!</definedName>
    <definedName name="salesSBP">#REF!</definedName>
    <definedName name="SAS" hidden="1">{#N/A,#N/A,FALSE,"FFM"}</definedName>
    <definedName name="SAVE">#REF!</definedName>
    <definedName name="sbhs">#REF!</definedName>
    <definedName name="scrap">#REF!</definedName>
    <definedName name="Scrap_1">#REF!</definedName>
    <definedName name="scrap_Amt">#REF!</definedName>
    <definedName name="Scrap_Area">#REF!</definedName>
    <definedName name="Scrap_indic_plate">#REF!</definedName>
    <definedName name="Scrap_indic_roll">#REF!</definedName>
    <definedName name="Scrap_indic_tube">#REF!</definedName>
    <definedName name="Scrap_Table">#REF!</definedName>
    <definedName name="sDay">[10]Ghost!$B$12:$B$42</definedName>
    <definedName name="SheetName">#REF!</definedName>
    <definedName name="SICIND" localSheetId="4">'[1]Income Statement'!#REF!</definedName>
    <definedName name="SICIND">'[1]Income Statement'!#REF!</definedName>
    <definedName name="simultaneity">[13]simultaneity!$B$3:$AS$46</definedName>
    <definedName name="sMonth">[10]Ghost!$B$12:$B$23</definedName>
    <definedName name="SOP">[17]Category!$D$2</definedName>
    <definedName name="SOURCEPRNT" localSheetId="4">'[1]Income Statement'!#REF!</definedName>
    <definedName name="SOURCEPRNT">'[1]Income Statement'!#REF!</definedName>
    <definedName name="SOURCETIT" localSheetId="4">#REF!</definedName>
    <definedName name="SOURCETIT">#REF!</definedName>
    <definedName name="staff" localSheetId="4">#REF!</definedName>
    <definedName name="staff">#REF!</definedName>
    <definedName name="Stamping1">[24]parameter!$N$3:$N$47</definedName>
    <definedName name="Stamping2">[28]parameter!$N$3:$R$49</definedName>
    <definedName name="STCK">#REF!</definedName>
    <definedName name="Subtot">#REF!</definedName>
    <definedName name="SubtotPerc">#REF!</definedName>
    <definedName name="SUMMARY">#REF!</definedName>
    <definedName name="SUMMARYA">#REF!</definedName>
    <definedName name="SUMSubtot">#REF!</definedName>
    <definedName name="SUNIT">#REF!</definedName>
    <definedName name="Supp_Logo">'[51]PPAP Info'!$AR$22</definedName>
    <definedName name="Supplier_Code">#REF!</definedName>
    <definedName name="Supplier_name">#REF!</definedName>
    <definedName name="T">#REF!</definedName>
    <definedName name="T.C.AOP">[52]Hypothesis!$B$12</definedName>
    <definedName name="table">'[12]ARM plants'!$A$5:$U$21</definedName>
    <definedName name="TBLABEL">#REF!</definedName>
    <definedName name="telephone">#REF!</definedName>
    <definedName name="temp" hidden="1">{#N/A,#N/A,FALSE,"FFM"}</definedName>
    <definedName name="TemplatePrintArea">#REF!</definedName>
    <definedName name="test">#REF!</definedName>
    <definedName name="TEST0">#REF!</definedName>
    <definedName name="TESTHKEY">#REF!</definedName>
    <definedName name="TESTKEYS">#REF!</definedName>
    <definedName name="TESTVKEY">#REF!</definedName>
    <definedName name="TFILE">#REF!</definedName>
    <definedName name="Ticker" localSheetId="4">'[36]Credit Ratings'!#REF!</definedName>
    <definedName name="Ticker">'[36]Credit Ratings'!#REF!</definedName>
    <definedName name="time_per_unit" localSheetId="4">'[20]Economic Data'!#REF!</definedName>
    <definedName name="time_per_unit">'[20]Economic Data'!#REF!</definedName>
    <definedName name="time_per_unit1" localSheetId="4">'[43]Economic Data'!#REF!</definedName>
    <definedName name="time_per_unit1">'[43]Economic Data'!#REF!</definedName>
    <definedName name="time_per_unit1SBP">#REF!</definedName>
    <definedName name="time_per_unitSBP">#REF!</definedName>
    <definedName name="title">#REF!</definedName>
    <definedName name="tm" localSheetId="4">[13]simultaneity!#REF!</definedName>
    <definedName name="tm">[13]simultaneity!#REF!</definedName>
    <definedName name="Tool1" localSheetId="4">#REF!</definedName>
    <definedName name="Tool1">#REF!</definedName>
    <definedName name="tooling" localSheetId="4">'[20]Economic Data'!#REF!</definedName>
    <definedName name="tooling">'[20]Economic Data'!#REF!</definedName>
    <definedName name="tooling1" localSheetId="4">'[20]Economic Data'!#REF!</definedName>
    <definedName name="tooling1">'[20]Economic Data'!#REF!</definedName>
    <definedName name="tooling1SBP">#REF!</definedName>
    <definedName name="toolingSBP">#REF!</definedName>
    <definedName name="Tools_0745AB">'[53]#REF'!$B$7:$O$57</definedName>
    <definedName name="tools1" localSheetId="4">[54]Tools!#REF!</definedName>
    <definedName name="tools1">[54]Tools!#REF!</definedName>
    <definedName name="tools2" localSheetId="4">[54]Tools!#REF!</definedName>
    <definedName name="tools2">[54]Tools!#REF!</definedName>
    <definedName name="TOTAL">#REF!</definedName>
    <definedName name="total_fully_loaded" localSheetId="4">'[20]Economic Data'!#REF!</definedName>
    <definedName name="total_fully_loaded">'[20]Economic Data'!#REF!</definedName>
    <definedName name="total_fully_loaded1" localSheetId="4">'[20]Economic Data'!#REF!</definedName>
    <definedName name="total_fully_loaded1">'[20]Economic Data'!#REF!</definedName>
    <definedName name="total_fully_loaded1SBP">#REF!</definedName>
    <definedName name="total_fully_loadedSBP">#REF!</definedName>
    <definedName name="total_incremental_cost" localSheetId="4">'[20]Economic Data'!#REF!</definedName>
    <definedName name="total_incremental_cost">'[20]Economic Data'!#REF!</definedName>
    <definedName name="total_incremental_cost1" localSheetId="4">'[20]Economic Data'!#REF!</definedName>
    <definedName name="total_incremental_cost1">'[20]Economic Data'!#REF!</definedName>
    <definedName name="total_incremental_cost1SBP">#REF!</definedName>
    <definedName name="total_incremental_costSBP">#REF!</definedName>
    <definedName name="TOTALS">#REF!</definedName>
    <definedName name="Tox" localSheetId="4">#REF!</definedName>
    <definedName name="Tox">#REF!</definedName>
    <definedName name="TP">#REF!</definedName>
    <definedName name="TPERIOD">#REF!</definedName>
    <definedName name="Transportation">[28]parameter!$AP$4:$AR$43</definedName>
    <definedName name="Transportation1">[24]parameter!$AP$4:$AP$42</definedName>
    <definedName name="TUNIT">#REF!</definedName>
    <definedName name="TWO">#REF!</definedName>
    <definedName name="TWOHALF">#REF!</definedName>
    <definedName name="Type">[55]W.REG!$M$2:$M$17</definedName>
    <definedName name="Type_of_WR">[24]parameter!$AC$2:$AC$16</definedName>
    <definedName name="TYPES" localSheetId="4">#REF!</definedName>
    <definedName name="TYPES">#REF!</definedName>
    <definedName name="Unit">#REF!</definedName>
    <definedName name="Updated">[17]Category!$F$3</definedName>
    <definedName name="Updated_by" localSheetId="4">#REF!</definedName>
    <definedName name="Updated_by">#REF!</definedName>
    <definedName name="Updated_on">#REF!</definedName>
    <definedName name="V_M">#REF!</definedName>
    <definedName name="var_overhead_cost" localSheetId="4">'[20]Economic Data'!#REF!</definedName>
    <definedName name="var_overhead_cost">'[20]Economic Data'!#REF!</definedName>
    <definedName name="var_overhead_cost_per_unit" localSheetId="4">'[20]Economic Data'!#REF!</definedName>
    <definedName name="var_overhead_cost_per_unit">'[20]Economic Data'!#REF!</definedName>
    <definedName name="var_overhead_cost_per_unit1" localSheetId="4">'[20]Economic Data'!#REF!</definedName>
    <definedName name="var_overhead_cost_per_unit1">'[20]Economic Data'!#REF!</definedName>
    <definedName name="var_overhead_cost_per_unit1SBP">#REF!</definedName>
    <definedName name="var_overhead_cost_per_unitSBP">#REF!</definedName>
    <definedName name="var_overhead_cost1" localSheetId="4">'[20]Economic Data'!#REF!</definedName>
    <definedName name="var_overhead_cost1">'[20]Economic Data'!#REF!</definedName>
    <definedName name="var_overhead_cost1SBP">#REF!</definedName>
    <definedName name="var_overhead_costSBP">#REF!</definedName>
    <definedName name="variable">#REF!</definedName>
    <definedName name="Variance" localSheetId="4">'[35]AOP INPUT - local currency'!#REF!</definedName>
    <definedName name="Variance">'[35]AOP INPUT - local currency'!#REF!</definedName>
    <definedName name="Version" localSheetId="4">'[36]Credit Ratings'!#REF!</definedName>
    <definedName name="Version">'[36]Credit Ratings'!#REF!</definedName>
    <definedName name="Version_Level">#REF!</definedName>
    <definedName name="VIEW">#REF!</definedName>
    <definedName name="volume" localSheetId="4">'[20]Economic Data'!#REF!</definedName>
    <definedName name="volume">'[20]Economic Data'!#REF!</definedName>
    <definedName name="volume1" localSheetId="4">'[20]Economic Data'!#REF!</definedName>
    <definedName name="volume1">'[20]Economic Data'!#REF!</definedName>
    <definedName name="volume1SBP">#REF!</definedName>
    <definedName name="volumeSBP">#REF!</definedName>
    <definedName name="W">#REF!</definedName>
    <definedName name="Warranty">#REF!</definedName>
    <definedName name="Water">#REF!</definedName>
    <definedName name="WD">[17]Category!$B$5</definedName>
    <definedName name="wfxCompany">#REF!</definedName>
    <definedName name="wfxDate">#REF!</definedName>
    <definedName name="wfxFaxNum">#REF!</definedName>
    <definedName name="wfxKeyword">#REF!</definedName>
    <definedName name="wfxRecipient">#REF!</definedName>
    <definedName name="wfxSubject">#REF!</definedName>
    <definedName name="WHERE">#REF!</definedName>
    <definedName name="Who">[16]Lookups!$B$1:$B$16</definedName>
    <definedName name="wm.ffm" hidden="1">{#N/A,#N/A,FALSE,"FFM"}</definedName>
    <definedName name="wm.lab" hidden="1">{#N/A,#N/A,FALSE,"Labour France";#N/A,#N/A,FALSE,"Labour Export";#N/A,#N/A,FALSE,"Ideas"}</definedName>
    <definedName name="wm.synt" hidden="1">{#N/A,#N/A,FALSE,"FFsynthesis";#N/A,#N/A,FALSE,"US$synthesis"}</definedName>
    <definedName name="won">#REF!</definedName>
    <definedName name="wrn.111." hidden="1">{#N/A,#N/A,FALSE,"AOP vs FORECAST "}</definedName>
    <definedName name="wrn.222." hidden="1">{#N/A,#N/A,FALSE,"AOP vs FORECAST "}</definedName>
    <definedName name="wrn.all." hidden="1">{#N/A,#N/A,FALSE,"cover";#N/A,#N/A,FALSE,"dist. list";#N/A,#N/A,FALSE,"Open Issues"}</definedName>
    <definedName name="wrn.aop99." hidden="1">{#N/A,#N/A,FALSE,"Full Year";#N/A,#N/A,FALSE,"Oct";#N/A,#N/A,FALSE,"Nov";#N/A,#N/A,FALSE,"Dec";#N/A,#N/A,FALSE,"Jan";#N/A,#N/A,FALSE,"Feb";#N/A,#N/A,FALSE,"Mar";#N/A,#N/A,FALSE,"Apr";#N/A,#N/A,FALSE,"May";#N/A,#N/A,FALSE,"Jun";#N/A,#N/A,FALSE,"Jul";#N/A,#N/A,FALSE,"Aug";#N/A,#N/A,FALSE,"Sep"}</definedName>
    <definedName name="wrn.D186._.APQP." hidden="1">{#N/A,#N/A,FALSE,"Cover Sheet";#N/A,#N/A,FALSE,"General Information";#N/A,#N/A,FALSE,"D186 Attendence";#N/A,#N/A,FALSE,"Open Concerns &amp; 8D's";#N/A,#N/A,FALSE,"Proto &amp; Pre-Prod Volumes";#N/A,#N/A,FALSE,"Engineering Change Matrix";#N/A,#N/A,FALSE,"D186 Open Issues";#N/A,#N/A,FALSE,"D186 Parts Tracking Matrix";#N/A,#N/A,FALSE,"PTS Status"}</definedName>
    <definedName name="wrn.FFM." hidden="1">{#N/A,#N/A,FALSE,"FFM"}</definedName>
    <definedName name="wrn.GMX210." hidden="1">{#N/A,#N/A,TRUE,"Cover Sheet";#N/A,#N/A,TRUE,"General Information";#N/A,#N/A,TRUE,"Module Assy";#N/A,#N/A,TRUE,"Module ECM";#N/A,#N/A,TRUE,"PPAP Tracking";#N/A,#N/A,TRUE,"210 Rf Assy";#N/A,#N/A,TRUE,"230 Rf Assy ";#N/A,#N/A,TRUE,"Roof ECM "}</definedName>
    <definedName name="wrn.GMX250." hidden="1">{#N/A,#N/A,FALSE,"Cover Sheet";#N/A,#N/A,FALSE,"General Information";#N/A,#N/A,FALSE,"Module Assy";#N/A,#N/A,FALSE,"Roof Assy";#N/A,#N/A,FALSE,"Module ECM";#N/A,#N/A,FALSE,"Roof ECM";#N/A,#N/A,FALSE,"Roof Proto &amp; Pre-Prod Volumes"}</definedName>
    <definedName name="wrn.internal." hidden="1">{#N/A,#N/A,FALSE,"Cover Sheet ";#N/A,#N/A,FALSE,"Internal";#N/A,#N/A,FALSE,"Open Issues";#N/A,#N/A,FALSE,"PT Attendence "}</definedName>
    <definedName name="wrn.LABOUR." hidden="1">{#N/A,#N/A,FALSE,"Labour France";#N/A,#N/A,FALSE,"Labour Export";#N/A,#N/A,FALSE,"Ideas"}</definedName>
    <definedName name="wrn.open._.cover." hidden="1">{#N/A,#N/A,FALSE,"cover";#N/A,#N/A,FALSE,"dist. list";#N/A,#N/A,FALSE,"Open Issues"}</definedName>
    <definedName name="wrn.open._.issues." hidden="1">{#N/A,#N/A,FALSE,"General Information";#N/A,#N/A,FALSE,"Cover Sheet";#N/A,#N/A,FALSE,"JA Attendence";#N/A,#N/A,FALSE,"Open Issues";#N/A,#N/A,FALSE,"Module Assy"}</definedName>
    <definedName name="wrn.OTHER." hidden="1">{#N/A,#N/A,FALSE,"Burden";#N/A,#N/A,FALSE,"Material";#N/A,#N/A,FALSE,"Tech modif"}</definedName>
    <definedName name="WRN.perf" hidden="1">{#N/A,#N/A,FALSE,"Burden";#N/A,#N/A,FALSE,"Material";#N/A,#N/A,FALSE,"Tech modif"}</definedName>
    <definedName name="wrn.SYNTHESIS." hidden="1">{#N/A,#N/A,FALSE,"FFsynthesis";#N/A,#N/A,FALSE,"US$synthesis"}</definedName>
    <definedName name="x">#REF!</definedName>
    <definedName name="XCRFST">#REF!</definedName>
    <definedName name="yrend">#REF!</definedName>
    <definedName name="YTDLABEL">#REF!</definedName>
    <definedName name="zone">[50]CALCUL!$E$1:$E$4</definedName>
    <definedName name="ZSCRTIT" localSheetId="4">'[1]Altman Z'!#REF!</definedName>
    <definedName name="ZSCRTIT">'[1]Altman Z'!#REF!</definedName>
    <definedName name="啊ô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Z12" i="46" l="1"/>
  <c r="AA8" i="46"/>
  <c r="AA9" i="46"/>
  <c r="AA10" i="46"/>
  <c r="AA11" i="46"/>
  <c r="AA13" i="46"/>
  <c r="AA14" i="46"/>
  <c r="AA15" i="46"/>
  <c r="AA16" i="46"/>
  <c r="AA17" i="46"/>
  <c r="AA18" i="46"/>
  <c r="AA19" i="46"/>
  <c r="AA20" i="46"/>
  <c r="AA21" i="46"/>
  <c r="AA22" i="46"/>
  <c r="AA23" i="46"/>
  <c r="AA24" i="46"/>
  <c r="AA25" i="46"/>
  <c r="AA26" i="46"/>
  <c r="AA27" i="46"/>
  <c r="AA28" i="46"/>
  <c r="AA29" i="46"/>
  <c r="AA30" i="46"/>
  <c r="AA31" i="46"/>
  <c r="AA32" i="46"/>
  <c r="AA33" i="46"/>
  <c r="AA34" i="46"/>
  <c r="AA35" i="46"/>
  <c r="AA36" i="46"/>
  <c r="AA37" i="46"/>
  <c r="AA38" i="46"/>
  <c r="AA39" i="46"/>
  <c r="AA40" i="46"/>
  <c r="AA41" i="46"/>
  <c r="AA42" i="46"/>
  <c r="AA43" i="46"/>
  <c r="AA44" i="46"/>
  <c r="AA45" i="46"/>
  <c r="AA46" i="46"/>
  <c r="AA47" i="46"/>
  <c r="AA48" i="46"/>
  <c r="AA49" i="46"/>
  <c r="AA50" i="46"/>
  <c r="AA51" i="46"/>
  <c r="AA52" i="46"/>
  <c r="AA53" i="46"/>
  <c r="AA54" i="46"/>
  <c r="AA55" i="46"/>
  <c r="AA56" i="46"/>
  <c r="AA57" i="46"/>
  <c r="AA58" i="46"/>
  <c r="AA59" i="46"/>
  <c r="AA60" i="46"/>
  <c r="AA61" i="46"/>
  <c r="AA62" i="46"/>
  <c r="AA63" i="46"/>
  <c r="AA64" i="46"/>
  <c r="AA65" i="46"/>
  <c r="AA66" i="46"/>
  <c r="AA67" i="46"/>
  <c r="AA68" i="46"/>
  <c r="AA69" i="46"/>
  <c r="AA70" i="46"/>
  <c r="AA71" i="46"/>
  <c r="AA72" i="46"/>
  <c r="AA73" i="46"/>
  <c r="AA74" i="46"/>
  <c r="AA75" i="46"/>
  <c r="AA76" i="46"/>
  <c r="AA77" i="46"/>
  <c r="AA78" i="46"/>
  <c r="AA79" i="46"/>
  <c r="AA80" i="46"/>
  <c r="AA81" i="46"/>
  <c r="AA82" i="46"/>
  <c r="AA83" i="46"/>
  <c r="AA84" i="46"/>
  <c r="AA85" i="46"/>
  <c r="AA86" i="46"/>
  <c r="AA87" i="46"/>
  <c r="AA88" i="46"/>
  <c r="AA89" i="46"/>
  <c r="AA90" i="46"/>
  <c r="AA91" i="46"/>
  <c r="AA92" i="46"/>
  <c r="AA7" i="46"/>
  <c r="W93" i="46"/>
  <c r="X92" i="46"/>
  <c r="X91" i="46"/>
  <c r="X90" i="46"/>
  <c r="X89" i="46"/>
  <c r="X88" i="46"/>
  <c r="X87" i="46"/>
  <c r="X86" i="46"/>
  <c r="X85" i="46"/>
  <c r="X84" i="46"/>
  <c r="X83" i="46"/>
  <c r="X82" i="46"/>
  <c r="X81" i="46"/>
  <c r="X80" i="46"/>
  <c r="X79" i="46"/>
  <c r="X78" i="46"/>
  <c r="X77" i="46"/>
  <c r="X76" i="46"/>
  <c r="X75" i="46"/>
  <c r="X74" i="46"/>
  <c r="X73" i="46"/>
  <c r="X72" i="46"/>
  <c r="X71" i="46"/>
  <c r="X70" i="46"/>
  <c r="X69" i="46"/>
  <c r="X68" i="46"/>
  <c r="X67" i="46"/>
  <c r="X66" i="46"/>
  <c r="X65" i="46"/>
  <c r="X64" i="46"/>
  <c r="X63" i="46"/>
  <c r="X62" i="46"/>
  <c r="X61" i="46"/>
  <c r="X60" i="46"/>
  <c r="X59" i="46"/>
  <c r="X58" i="46"/>
  <c r="X57" i="46"/>
  <c r="X56" i="46"/>
  <c r="X55" i="46"/>
  <c r="X54" i="46"/>
  <c r="X53" i="46"/>
  <c r="X52" i="46"/>
  <c r="X51" i="46"/>
  <c r="X50" i="46"/>
  <c r="X49" i="46"/>
  <c r="X48" i="46"/>
  <c r="X47" i="46"/>
  <c r="X46" i="46"/>
  <c r="X45" i="46"/>
  <c r="X44" i="46"/>
  <c r="X43" i="46"/>
  <c r="X42" i="46"/>
  <c r="X41" i="46"/>
  <c r="X40" i="46"/>
  <c r="X39" i="46"/>
  <c r="X38" i="46"/>
  <c r="X37" i="46"/>
  <c r="X36" i="46"/>
  <c r="X35" i="46"/>
  <c r="X34" i="46"/>
  <c r="X33" i="46"/>
  <c r="X32" i="46"/>
  <c r="X31" i="46"/>
  <c r="X30" i="46"/>
  <c r="X29" i="46"/>
  <c r="X28" i="46"/>
  <c r="X27" i="46"/>
  <c r="X26" i="46"/>
  <c r="X25" i="46"/>
  <c r="X24" i="46"/>
  <c r="X23" i="46"/>
  <c r="X22" i="46"/>
  <c r="X21" i="46"/>
  <c r="X20" i="46"/>
  <c r="X19" i="46"/>
  <c r="X18" i="46"/>
  <c r="X17" i="46"/>
  <c r="X16" i="46"/>
  <c r="X15" i="46"/>
  <c r="X14" i="46"/>
  <c r="X13" i="46"/>
  <c r="X12" i="46"/>
  <c r="X11" i="46"/>
  <c r="X10" i="46"/>
  <c r="X9" i="46"/>
  <c r="X8" i="46"/>
  <c r="X7" i="46"/>
  <c r="X6" i="46"/>
  <c r="T93" i="46"/>
  <c r="U92" i="46"/>
  <c r="U91" i="46"/>
  <c r="U90" i="46"/>
  <c r="U89" i="46"/>
  <c r="U88" i="46"/>
  <c r="U87" i="46"/>
  <c r="U86" i="46"/>
  <c r="U85" i="46"/>
  <c r="U84" i="46"/>
  <c r="U83" i="46"/>
  <c r="U82" i="46"/>
  <c r="U81" i="46"/>
  <c r="U80" i="46"/>
  <c r="U79" i="46"/>
  <c r="U78" i="46"/>
  <c r="U77" i="46"/>
  <c r="U76" i="46"/>
  <c r="U75" i="46"/>
  <c r="U74" i="46"/>
  <c r="U73" i="46"/>
  <c r="U72" i="46"/>
  <c r="U71" i="46"/>
  <c r="U70" i="46"/>
  <c r="U69" i="46"/>
  <c r="U68" i="46"/>
  <c r="U67" i="46"/>
  <c r="U66" i="46"/>
  <c r="U65" i="46"/>
  <c r="U64" i="46"/>
  <c r="U63" i="46"/>
  <c r="U62" i="46"/>
  <c r="U61" i="46"/>
  <c r="U60" i="46"/>
  <c r="U59" i="46"/>
  <c r="U58" i="46"/>
  <c r="U57" i="46"/>
  <c r="U56" i="46"/>
  <c r="U55" i="46"/>
  <c r="U54" i="46"/>
  <c r="U53" i="46"/>
  <c r="U52" i="46"/>
  <c r="U51" i="46"/>
  <c r="U50" i="46"/>
  <c r="U49" i="46"/>
  <c r="U48" i="46"/>
  <c r="U47" i="46"/>
  <c r="U46" i="46"/>
  <c r="U45" i="46"/>
  <c r="U44" i="46"/>
  <c r="U43" i="46"/>
  <c r="U42" i="46"/>
  <c r="U41" i="46"/>
  <c r="U40" i="46"/>
  <c r="U39" i="46"/>
  <c r="U38" i="46"/>
  <c r="U37" i="46"/>
  <c r="U36" i="46"/>
  <c r="U35" i="46"/>
  <c r="U34" i="46"/>
  <c r="U33" i="46"/>
  <c r="U32" i="46"/>
  <c r="U31" i="46"/>
  <c r="U30" i="46"/>
  <c r="U29" i="46"/>
  <c r="U28" i="46"/>
  <c r="U27" i="46"/>
  <c r="U26" i="46"/>
  <c r="U25" i="46"/>
  <c r="U24" i="46"/>
  <c r="U23" i="46"/>
  <c r="U22" i="46"/>
  <c r="U21" i="46"/>
  <c r="U20" i="46"/>
  <c r="U19" i="46"/>
  <c r="U18" i="46"/>
  <c r="U17" i="46"/>
  <c r="U16" i="46"/>
  <c r="U15" i="46"/>
  <c r="U14" i="46"/>
  <c r="U13" i="46"/>
  <c r="U12" i="46"/>
  <c r="U11" i="46"/>
  <c r="U10" i="46"/>
  <c r="U9" i="46"/>
  <c r="U8" i="46"/>
  <c r="U7" i="46"/>
  <c r="U6" i="46"/>
  <c r="AA12" i="46" l="1"/>
  <c r="AA93" i="46" s="1"/>
  <c r="Z93" i="46"/>
  <c r="X93" i="46"/>
  <c r="U93" i="46"/>
  <c r="Q93" i="46"/>
  <c r="R92" i="46"/>
  <c r="R91" i="46"/>
  <c r="R90" i="46"/>
  <c r="R89" i="46"/>
  <c r="R88" i="46"/>
  <c r="R87" i="46"/>
  <c r="R86" i="46"/>
  <c r="R85" i="46"/>
  <c r="R84" i="46"/>
  <c r="R83" i="46"/>
  <c r="R82" i="46"/>
  <c r="R81" i="46"/>
  <c r="R80" i="46"/>
  <c r="R79" i="46"/>
  <c r="R78" i="46"/>
  <c r="R77" i="46"/>
  <c r="R76" i="46"/>
  <c r="R75" i="46"/>
  <c r="R74" i="46"/>
  <c r="R73" i="46"/>
  <c r="R72" i="46"/>
  <c r="R71" i="46"/>
  <c r="R70" i="46"/>
  <c r="R69" i="46"/>
  <c r="R68" i="46"/>
  <c r="R67" i="46"/>
  <c r="R66" i="46"/>
  <c r="R65" i="46"/>
  <c r="R64" i="46"/>
  <c r="R63" i="46"/>
  <c r="R62" i="46"/>
  <c r="R61" i="46"/>
  <c r="R60" i="46"/>
  <c r="R59" i="46"/>
  <c r="R58" i="46"/>
  <c r="R57" i="46"/>
  <c r="R56" i="46"/>
  <c r="R55" i="46"/>
  <c r="R54" i="46"/>
  <c r="R53" i="46"/>
  <c r="R52" i="46"/>
  <c r="R51" i="46"/>
  <c r="R50" i="46"/>
  <c r="R49" i="46"/>
  <c r="R48" i="46"/>
  <c r="R47" i="46"/>
  <c r="R46" i="46"/>
  <c r="R45" i="46"/>
  <c r="R44" i="46"/>
  <c r="R43" i="46"/>
  <c r="R42" i="46"/>
  <c r="R41" i="46"/>
  <c r="R40" i="46"/>
  <c r="R39" i="46"/>
  <c r="R38" i="46"/>
  <c r="R37" i="46"/>
  <c r="R36" i="46"/>
  <c r="R35" i="46"/>
  <c r="R34" i="46"/>
  <c r="R33" i="46"/>
  <c r="R32" i="46"/>
  <c r="R31" i="46"/>
  <c r="R30" i="46"/>
  <c r="R29" i="46"/>
  <c r="R28" i="46"/>
  <c r="R27" i="46"/>
  <c r="R26" i="46"/>
  <c r="R25" i="46"/>
  <c r="R24" i="46"/>
  <c r="R23" i="46"/>
  <c r="R22" i="46"/>
  <c r="R21" i="46"/>
  <c r="R20" i="46"/>
  <c r="R19" i="46"/>
  <c r="R18" i="46"/>
  <c r="R17" i="46"/>
  <c r="R16" i="46"/>
  <c r="R15" i="46"/>
  <c r="R14" i="46"/>
  <c r="R13" i="46"/>
  <c r="R12" i="46"/>
  <c r="R11" i="46"/>
  <c r="R10" i="46"/>
  <c r="R9" i="46"/>
  <c r="R8" i="46"/>
  <c r="R7" i="46"/>
  <c r="R6" i="46"/>
  <c r="N93" i="46"/>
  <c r="O92" i="46"/>
  <c r="O91" i="46"/>
  <c r="O90" i="46"/>
  <c r="O89" i="46"/>
  <c r="O88" i="46"/>
  <c r="O87" i="46"/>
  <c r="O86" i="46"/>
  <c r="O85" i="46"/>
  <c r="O84" i="46"/>
  <c r="O83" i="46"/>
  <c r="O82" i="46"/>
  <c r="O81" i="46"/>
  <c r="O80" i="46"/>
  <c r="O79" i="46"/>
  <c r="O78" i="46"/>
  <c r="O77" i="46"/>
  <c r="O76" i="46"/>
  <c r="O75" i="46"/>
  <c r="O74" i="46"/>
  <c r="O73" i="46"/>
  <c r="O72" i="46"/>
  <c r="O71" i="46"/>
  <c r="O70" i="46"/>
  <c r="O69" i="46"/>
  <c r="O68" i="46"/>
  <c r="O67" i="46"/>
  <c r="O66" i="46"/>
  <c r="O65" i="46"/>
  <c r="O64" i="46"/>
  <c r="O63" i="46"/>
  <c r="O62" i="46"/>
  <c r="O61" i="46"/>
  <c r="O60" i="46"/>
  <c r="O59" i="46"/>
  <c r="O58" i="46"/>
  <c r="O57" i="46"/>
  <c r="O56" i="46"/>
  <c r="O55" i="46"/>
  <c r="O54" i="46"/>
  <c r="O53" i="46"/>
  <c r="O52" i="46"/>
  <c r="O51" i="46"/>
  <c r="O50" i="46"/>
  <c r="O49" i="46"/>
  <c r="O48" i="46"/>
  <c r="O47" i="46"/>
  <c r="O46" i="46"/>
  <c r="O45" i="46"/>
  <c r="O44" i="46"/>
  <c r="O43" i="46"/>
  <c r="O42" i="46"/>
  <c r="O41" i="46"/>
  <c r="O40" i="46"/>
  <c r="O39" i="46"/>
  <c r="O38" i="46"/>
  <c r="O37" i="46"/>
  <c r="O36" i="46"/>
  <c r="O35" i="46"/>
  <c r="O34" i="46"/>
  <c r="O33" i="46"/>
  <c r="O32" i="46"/>
  <c r="O31" i="46"/>
  <c r="O30" i="46"/>
  <c r="O29" i="46"/>
  <c r="O28" i="46"/>
  <c r="O27" i="46"/>
  <c r="O26" i="46"/>
  <c r="O25" i="46"/>
  <c r="O24" i="46"/>
  <c r="O23" i="46"/>
  <c r="O22" i="46"/>
  <c r="O21" i="46"/>
  <c r="O20" i="46"/>
  <c r="O19" i="46"/>
  <c r="O18" i="46"/>
  <c r="O17" i="46"/>
  <c r="O16" i="46"/>
  <c r="O15" i="46"/>
  <c r="O14" i="46"/>
  <c r="O13" i="46"/>
  <c r="O12" i="46"/>
  <c r="O11" i="46"/>
  <c r="O10" i="46"/>
  <c r="O9" i="46"/>
  <c r="O8" i="46"/>
  <c r="O7" i="46"/>
  <c r="O6" i="46"/>
  <c r="K93" i="46"/>
  <c r="L92" i="46"/>
  <c r="L91" i="46"/>
  <c r="L90" i="46"/>
  <c r="L89" i="46"/>
  <c r="L88" i="46"/>
  <c r="L87" i="46"/>
  <c r="L86" i="46"/>
  <c r="L85" i="46"/>
  <c r="L84" i="46"/>
  <c r="L83" i="46"/>
  <c r="L82" i="46"/>
  <c r="L81" i="46"/>
  <c r="L80" i="46"/>
  <c r="L79" i="46"/>
  <c r="L78" i="46"/>
  <c r="L77" i="46"/>
  <c r="L76" i="46"/>
  <c r="L75" i="46"/>
  <c r="L74" i="46"/>
  <c r="L73" i="46"/>
  <c r="L72" i="46"/>
  <c r="L71" i="46"/>
  <c r="L70" i="46"/>
  <c r="L69" i="46"/>
  <c r="L68" i="46"/>
  <c r="L67" i="46"/>
  <c r="L66" i="46"/>
  <c r="L65" i="46"/>
  <c r="L64" i="46"/>
  <c r="L63" i="46"/>
  <c r="L62" i="46"/>
  <c r="L61" i="46"/>
  <c r="L60" i="46"/>
  <c r="L59" i="46"/>
  <c r="L58" i="46"/>
  <c r="L57" i="46"/>
  <c r="L56" i="46"/>
  <c r="L55" i="46"/>
  <c r="L54" i="46"/>
  <c r="L53" i="46"/>
  <c r="L52" i="46"/>
  <c r="L51" i="46"/>
  <c r="L50" i="46"/>
  <c r="L49" i="46"/>
  <c r="L48" i="46"/>
  <c r="L47" i="46"/>
  <c r="L46" i="46"/>
  <c r="L45" i="46"/>
  <c r="L44" i="46"/>
  <c r="L43" i="46"/>
  <c r="L42" i="46"/>
  <c r="L41" i="46"/>
  <c r="L40" i="46"/>
  <c r="L39" i="46"/>
  <c r="L38" i="46"/>
  <c r="L37" i="46"/>
  <c r="L36" i="46"/>
  <c r="L35" i="46"/>
  <c r="L34" i="46"/>
  <c r="L33" i="46"/>
  <c r="L32" i="46"/>
  <c r="L31" i="46"/>
  <c r="L30" i="46"/>
  <c r="L29" i="46"/>
  <c r="L28" i="46"/>
  <c r="L27" i="46"/>
  <c r="L26" i="46"/>
  <c r="L25" i="46"/>
  <c r="L24" i="46"/>
  <c r="L23" i="46"/>
  <c r="L22" i="46"/>
  <c r="L21" i="46"/>
  <c r="L20" i="46"/>
  <c r="L19" i="46"/>
  <c r="L18" i="46"/>
  <c r="L17" i="46"/>
  <c r="L16" i="46"/>
  <c r="L15" i="46"/>
  <c r="L14" i="46"/>
  <c r="L13" i="46"/>
  <c r="L12" i="46"/>
  <c r="L11" i="46"/>
  <c r="L10" i="46"/>
  <c r="L9" i="46"/>
  <c r="L8" i="46"/>
  <c r="L7" i="46"/>
  <c r="L6" i="46"/>
  <c r="AG93" i="46"/>
  <c r="AF93" i="46"/>
  <c r="AE93" i="46"/>
  <c r="AD93" i="46"/>
  <c r="AC93" i="46"/>
  <c r="AB93" i="46"/>
  <c r="Y93" i="46"/>
  <c r="V93" i="46"/>
  <c r="S93" i="46"/>
  <c r="P93" i="46"/>
  <c r="M93" i="46"/>
  <c r="J93" i="46"/>
  <c r="G93" i="46"/>
  <c r="H12" i="46"/>
  <c r="I12" i="46" s="1"/>
  <c r="I89" i="46"/>
  <c r="I92" i="46"/>
  <c r="I91" i="46"/>
  <c r="I90" i="46"/>
  <c r="I88" i="46"/>
  <c r="I87" i="46"/>
  <c r="I86" i="46"/>
  <c r="I85" i="46"/>
  <c r="I84" i="46"/>
  <c r="I83" i="46"/>
  <c r="I82" i="46"/>
  <c r="I81" i="46"/>
  <c r="I80" i="46"/>
  <c r="I79" i="46"/>
  <c r="I78" i="46"/>
  <c r="I77" i="46"/>
  <c r="I76" i="46"/>
  <c r="I75" i="46"/>
  <c r="I74" i="46"/>
  <c r="I73" i="46"/>
  <c r="I72" i="46"/>
  <c r="I71" i="46"/>
  <c r="I70" i="46"/>
  <c r="I69" i="46"/>
  <c r="I68" i="46"/>
  <c r="I67" i="46"/>
  <c r="I66" i="46"/>
  <c r="I65" i="46"/>
  <c r="I64" i="46"/>
  <c r="I63" i="46"/>
  <c r="I62" i="46"/>
  <c r="I61" i="46"/>
  <c r="I60" i="46"/>
  <c r="I59" i="46"/>
  <c r="I58" i="46"/>
  <c r="I57" i="46"/>
  <c r="I56" i="46"/>
  <c r="I55" i="46"/>
  <c r="I54" i="46"/>
  <c r="I53" i="46"/>
  <c r="I52" i="46"/>
  <c r="I51" i="46"/>
  <c r="I50" i="46"/>
  <c r="I49" i="46"/>
  <c r="I48" i="46"/>
  <c r="I47" i="46"/>
  <c r="I46" i="46"/>
  <c r="I45" i="46"/>
  <c r="I44" i="46"/>
  <c r="I43" i="46"/>
  <c r="I42" i="46"/>
  <c r="I41" i="46"/>
  <c r="I40" i="46"/>
  <c r="I39" i="46"/>
  <c r="I38" i="46"/>
  <c r="I37" i="46"/>
  <c r="I36" i="46"/>
  <c r="I35" i="46"/>
  <c r="I34" i="46"/>
  <c r="I33" i="46"/>
  <c r="I32" i="46"/>
  <c r="I31" i="46"/>
  <c r="I30" i="46"/>
  <c r="I29" i="46"/>
  <c r="I28" i="46"/>
  <c r="I27" i="46"/>
  <c r="I26" i="46"/>
  <c r="I25" i="46"/>
  <c r="I24" i="46"/>
  <c r="I23" i="46"/>
  <c r="I22" i="46"/>
  <c r="I21" i="46"/>
  <c r="I20" i="46"/>
  <c r="I19" i="46"/>
  <c r="I18" i="46"/>
  <c r="I17" i="46"/>
  <c r="I16" i="46"/>
  <c r="I15" i="46"/>
  <c r="I14" i="46"/>
  <c r="I13" i="46"/>
  <c r="I11" i="46"/>
  <c r="I10" i="46"/>
  <c r="I9" i="46"/>
  <c r="I8" i="46"/>
  <c r="I7" i="46"/>
  <c r="I6" i="46"/>
  <c r="R93" i="46" l="1"/>
  <c r="O93" i="46"/>
  <c r="L93" i="46"/>
  <c r="H93" i="46"/>
  <c r="I93" i="46"/>
  <c r="AH6" i="46"/>
  <c r="AH93" i="46" s="1"/>
  <c r="C16" i="40" l="1"/>
  <c r="D16" i="40" l="1"/>
  <c r="T92" i="44" l="1"/>
  <c r="A2" i="44"/>
  <c r="K18" i="44"/>
  <c r="T94" i="44"/>
  <c r="T93" i="44"/>
  <c r="T96" i="44"/>
  <c r="T97" i="44"/>
  <c r="T98" i="44"/>
  <c r="G8" i="44"/>
  <c r="S8" i="44" s="1"/>
  <c r="H8" i="44"/>
  <c r="I8" i="44"/>
  <c r="J8" i="44"/>
  <c r="K8" i="44"/>
  <c r="L8" i="44"/>
  <c r="M8" i="44"/>
  <c r="N8" i="44"/>
  <c r="O8" i="44"/>
  <c r="P8" i="44"/>
  <c r="Q8" i="44"/>
  <c r="R8" i="44"/>
  <c r="G9" i="44"/>
  <c r="S9" i="44" s="1"/>
  <c r="H9" i="44"/>
  <c r="I9" i="44"/>
  <c r="J9" i="44"/>
  <c r="K9" i="44"/>
  <c r="L9" i="44"/>
  <c r="M9" i="44"/>
  <c r="N9" i="44"/>
  <c r="O9" i="44"/>
  <c r="P9" i="44"/>
  <c r="Q9" i="44"/>
  <c r="R9" i="44"/>
  <c r="G10" i="44"/>
  <c r="S10" i="44" s="1"/>
  <c r="H10" i="44"/>
  <c r="I10" i="44"/>
  <c r="J10" i="44"/>
  <c r="K10" i="44"/>
  <c r="L10" i="44"/>
  <c r="M10" i="44"/>
  <c r="N10" i="44"/>
  <c r="O10" i="44"/>
  <c r="P10" i="44"/>
  <c r="Q10" i="44"/>
  <c r="R10" i="44"/>
  <c r="G11" i="44"/>
  <c r="S11" i="44" s="1"/>
  <c r="H11" i="44"/>
  <c r="I11" i="44"/>
  <c r="J11" i="44"/>
  <c r="K11" i="44"/>
  <c r="L11" i="44"/>
  <c r="M11" i="44"/>
  <c r="N11" i="44"/>
  <c r="O11" i="44"/>
  <c r="P11" i="44"/>
  <c r="Q11" i="44"/>
  <c r="R11" i="44"/>
  <c r="G12" i="44"/>
  <c r="S12" i="44" s="1"/>
  <c r="H12" i="44"/>
  <c r="I12" i="44"/>
  <c r="J12" i="44"/>
  <c r="K12" i="44"/>
  <c r="L12" i="44"/>
  <c r="M12" i="44"/>
  <c r="N12" i="44"/>
  <c r="O12" i="44"/>
  <c r="P12" i="44"/>
  <c r="Q12" i="44"/>
  <c r="R12" i="44"/>
  <c r="G13" i="44"/>
  <c r="S13" i="44" s="1"/>
  <c r="H13" i="44"/>
  <c r="I13" i="44"/>
  <c r="J13" i="44"/>
  <c r="K13" i="44"/>
  <c r="L13" i="44"/>
  <c r="M13" i="44"/>
  <c r="N13" i="44"/>
  <c r="O13" i="44"/>
  <c r="P13" i="44"/>
  <c r="Q13" i="44"/>
  <c r="R13" i="44"/>
  <c r="G14" i="44"/>
  <c r="S14" i="44" s="1"/>
  <c r="H14" i="44"/>
  <c r="I14" i="44"/>
  <c r="J14" i="44"/>
  <c r="K14" i="44"/>
  <c r="L14" i="44"/>
  <c r="M14" i="44"/>
  <c r="N14" i="44"/>
  <c r="O14" i="44"/>
  <c r="P14" i="44"/>
  <c r="Q14" i="44"/>
  <c r="R14" i="44"/>
  <c r="G15" i="44"/>
  <c r="S15" i="44" s="1"/>
  <c r="H15" i="44"/>
  <c r="I15" i="44"/>
  <c r="J15" i="44"/>
  <c r="K15" i="44"/>
  <c r="L15" i="44"/>
  <c r="M15" i="44"/>
  <c r="N15" i="44"/>
  <c r="O15" i="44"/>
  <c r="P15" i="44"/>
  <c r="Q15" i="44"/>
  <c r="R15" i="44"/>
  <c r="G16" i="44"/>
  <c r="S16" i="44" s="1"/>
  <c r="H16" i="44"/>
  <c r="I16" i="44"/>
  <c r="J16" i="44"/>
  <c r="K16" i="44"/>
  <c r="L16" i="44"/>
  <c r="M16" i="44"/>
  <c r="N16" i="44"/>
  <c r="O16" i="44"/>
  <c r="P16" i="44"/>
  <c r="Q16" i="44"/>
  <c r="R16" i="44"/>
  <c r="G17" i="44"/>
  <c r="S17" i="44" s="1"/>
  <c r="H17" i="44"/>
  <c r="I17" i="44"/>
  <c r="J17" i="44"/>
  <c r="K17" i="44"/>
  <c r="L17" i="44"/>
  <c r="M17" i="44"/>
  <c r="N17" i="44"/>
  <c r="O17" i="44"/>
  <c r="P17" i="44"/>
  <c r="Q17" i="44"/>
  <c r="R17" i="44"/>
  <c r="G18" i="44"/>
  <c r="S18" i="44" s="1"/>
  <c r="H18" i="44"/>
  <c r="I18" i="44"/>
  <c r="J18" i="44"/>
  <c r="L18" i="44"/>
  <c r="M18" i="44"/>
  <c r="N18" i="44"/>
  <c r="O18" i="44"/>
  <c r="P18" i="44"/>
  <c r="Q18" i="44"/>
  <c r="R18" i="44"/>
  <c r="G19" i="44"/>
  <c r="S19" i="44" s="1"/>
  <c r="H19" i="44"/>
  <c r="I19" i="44"/>
  <c r="J19" i="44"/>
  <c r="K19" i="44"/>
  <c r="L19" i="44"/>
  <c r="M19" i="44"/>
  <c r="N19" i="44"/>
  <c r="O19" i="44"/>
  <c r="P19" i="44"/>
  <c r="Q19" i="44"/>
  <c r="R19" i="44"/>
  <c r="G20" i="44"/>
  <c r="S20" i="44" s="1"/>
  <c r="H20" i="44"/>
  <c r="I20" i="44"/>
  <c r="J20" i="44"/>
  <c r="K20" i="44"/>
  <c r="L20" i="44"/>
  <c r="M20" i="44"/>
  <c r="N20" i="44"/>
  <c r="O20" i="44"/>
  <c r="P20" i="44"/>
  <c r="Q20" i="44"/>
  <c r="R20" i="44"/>
  <c r="G21" i="44"/>
  <c r="S21" i="44" s="1"/>
  <c r="H21" i="44"/>
  <c r="I21" i="44"/>
  <c r="J21" i="44"/>
  <c r="K21" i="44"/>
  <c r="L21" i="44"/>
  <c r="M21" i="44"/>
  <c r="N21" i="44"/>
  <c r="O21" i="44"/>
  <c r="P21" i="44"/>
  <c r="Q21" i="44"/>
  <c r="R21" i="44"/>
  <c r="G22" i="44"/>
  <c r="S22" i="44" s="1"/>
  <c r="H22" i="44"/>
  <c r="I22" i="44"/>
  <c r="J22" i="44"/>
  <c r="K22" i="44"/>
  <c r="L22" i="44"/>
  <c r="M22" i="44"/>
  <c r="N22" i="44"/>
  <c r="O22" i="44"/>
  <c r="P22" i="44"/>
  <c r="Q22" i="44"/>
  <c r="R22" i="44"/>
  <c r="G23" i="44"/>
  <c r="S23" i="44" s="1"/>
  <c r="H23" i="44"/>
  <c r="I23" i="44"/>
  <c r="J23" i="44"/>
  <c r="K23" i="44"/>
  <c r="L23" i="44"/>
  <c r="M23" i="44"/>
  <c r="N23" i="44"/>
  <c r="O23" i="44"/>
  <c r="P23" i="44"/>
  <c r="Q23" i="44"/>
  <c r="R23" i="44"/>
  <c r="G24" i="44"/>
  <c r="S24" i="44" s="1"/>
  <c r="H24" i="44"/>
  <c r="I24" i="44"/>
  <c r="J24" i="44"/>
  <c r="K24" i="44"/>
  <c r="L24" i="44"/>
  <c r="M24" i="44"/>
  <c r="N24" i="44"/>
  <c r="O24" i="44"/>
  <c r="P24" i="44"/>
  <c r="Q24" i="44"/>
  <c r="R24" i="44"/>
  <c r="G25" i="44"/>
  <c r="S25" i="44" s="1"/>
  <c r="H25" i="44"/>
  <c r="I25" i="44"/>
  <c r="J25" i="44"/>
  <c r="K25" i="44"/>
  <c r="L25" i="44"/>
  <c r="M25" i="44"/>
  <c r="N25" i="44"/>
  <c r="O25" i="44"/>
  <c r="P25" i="44"/>
  <c r="Q25" i="44"/>
  <c r="R25" i="44"/>
  <c r="G26" i="44"/>
  <c r="S26" i="44" s="1"/>
  <c r="H26" i="44"/>
  <c r="I26" i="44"/>
  <c r="J26" i="44"/>
  <c r="K26" i="44"/>
  <c r="L26" i="44"/>
  <c r="M26" i="44"/>
  <c r="N26" i="44"/>
  <c r="O26" i="44"/>
  <c r="P26" i="44"/>
  <c r="Q26" i="44"/>
  <c r="R26" i="44"/>
  <c r="G27" i="44"/>
  <c r="S27" i="44" s="1"/>
  <c r="H27" i="44"/>
  <c r="I27" i="44"/>
  <c r="J27" i="44"/>
  <c r="K27" i="44"/>
  <c r="L27" i="44"/>
  <c r="M27" i="44"/>
  <c r="N27" i="44"/>
  <c r="O27" i="44"/>
  <c r="P27" i="44"/>
  <c r="Q27" i="44"/>
  <c r="R27" i="44"/>
  <c r="G28" i="44"/>
  <c r="S28" i="44" s="1"/>
  <c r="H28" i="44"/>
  <c r="I28" i="44"/>
  <c r="J28" i="44"/>
  <c r="K28" i="44"/>
  <c r="L28" i="44"/>
  <c r="M28" i="44"/>
  <c r="N28" i="44"/>
  <c r="O28" i="44"/>
  <c r="P28" i="44"/>
  <c r="Q28" i="44"/>
  <c r="R28" i="44"/>
  <c r="G29" i="44"/>
  <c r="S29" i="44" s="1"/>
  <c r="H29" i="44"/>
  <c r="I29" i="44"/>
  <c r="J29" i="44"/>
  <c r="K29" i="44"/>
  <c r="L29" i="44"/>
  <c r="M29" i="44"/>
  <c r="N29" i="44"/>
  <c r="O29" i="44"/>
  <c r="P29" i="44"/>
  <c r="Q29" i="44"/>
  <c r="R29" i="44"/>
  <c r="G30" i="44"/>
  <c r="S30" i="44" s="1"/>
  <c r="H30" i="44"/>
  <c r="I30" i="44"/>
  <c r="J30" i="44"/>
  <c r="K30" i="44"/>
  <c r="L30" i="44"/>
  <c r="M30" i="44"/>
  <c r="N30" i="44"/>
  <c r="O30" i="44"/>
  <c r="P30" i="44"/>
  <c r="Q30" i="44"/>
  <c r="R30" i="44"/>
  <c r="G31" i="44"/>
  <c r="S31" i="44" s="1"/>
  <c r="H31" i="44"/>
  <c r="I31" i="44"/>
  <c r="J31" i="44"/>
  <c r="K31" i="44"/>
  <c r="L31" i="44"/>
  <c r="M31" i="44"/>
  <c r="N31" i="44"/>
  <c r="O31" i="44"/>
  <c r="P31" i="44"/>
  <c r="Q31" i="44"/>
  <c r="R31" i="44"/>
  <c r="G32" i="44"/>
  <c r="S32" i="44" s="1"/>
  <c r="H32" i="44"/>
  <c r="I32" i="44"/>
  <c r="J32" i="44"/>
  <c r="K32" i="44"/>
  <c r="L32" i="44"/>
  <c r="M32" i="44"/>
  <c r="N32" i="44"/>
  <c r="O32" i="44"/>
  <c r="P32" i="44"/>
  <c r="Q32" i="44"/>
  <c r="R32" i="44"/>
  <c r="G33" i="44"/>
  <c r="S33" i="44" s="1"/>
  <c r="H33" i="44"/>
  <c r="I33" i="44"/>
  <c r="J33" i="44"/>
  <c r="K33" i="44"/>
  <c r="L33" i="44"/>
  <c r="M33" i="44"/>
  <c r="N33" i="44"/>
  <c r="O33" i="44"/>
  <c r="P33" i="44"/>
  <c r="Q33" i="44"/>
  <c r="R33" i="44"/>
  <c r="G34" i="44"/>
  <c r="S34" i="44" s="1"/>
  <c r="H34" i="44"/>
  <c r="I34" i="44"/>
  <c r="J34" i="44"/>
  <c r="K34" i="44"/>
  <c r="L34" i="44"/>
  <c r="M34" i="44"/>
  <c r="N34" i="44"/>
  <c r="O34" i="44"/>
  <c r="P34" i="44"/>
  <c r="Q34" i="44"/>
  <c r="R34" i="44"/>
  <c r="G35" i="44"/>
  <c r="S35" i="44" s="1"/>
  <c r="H35" i="44"/>
  <c r="I35" i="44"/>
  <c r="J35" i="44"/>
  <c r="K35" i="44"/>
  <c r="L35" i="44"/>
  <c r="M35" i="44"/>
  <c r="N35" i="44"/>
  <c r="O35" i="44"/>
  <c r="P35" i="44"/>
  <c r="Q35" i="44"/>
  <c r="R35" i="44"/>
  <c r="G36" i="44"/>
  <c r="S36" i="44" s="1"/>
  <c r="H36" i="44"/>
  <c r="I36" i="44"/>
  <c r="J36" i="44"/>
  <c r="K36" i="44"/>
  <c r="L36" i="44"/>
  <c r="M36" i="44"/>
  <c r="N36" i="44"/>
  <c r="O36" i="44"/>
  <c r="P36" i="44"/>
  <c r="Q36" i="44"/>
  <c r="R36" i="44"/>
  <c r="G37" i="44"/>
  <c r="S37" i="44" s="1"/>
  <c r="H37" i="44"/>
  <c r="I37" i="44"/>
  <c r="J37" i="44"/>
  <c r="K37" i="44"/>
  <c r="L37" i="44"/>
  <c r="M37" i="44"/>
  <c r="N37" i="44"/>
  <c r="O37" i="44"/>
  <c r="P37" i="44"/>
  <c r="Q37" i="44"/>
  <c r="R37" i="44"/>
  <c r="G38" i="44"/>
  <c r="S38" i="44" s="1"/>
  <c r="H38" i="44"/>
  <c r="I38" i="44"/>
  <c r="J38" i="44"/>
  <c r="K38" i="44"/>
  <c r="L38" i="44"/>
  <c r="M38" i="44"/>
  <c r="N38" i="44"/>
  <c r="O38" i="44"/>
  <c r="P38" i="44"/>
  <c r="Q38" i="44"/>
  <c r="R38" i="44"/>
  <c r="G39" i="44"/>
  <c r="S39" i="44" s="1"/>
  <c r="H39" i="44"/>
  <c r="I39" i="44"/>
  <c r="J39" i="44"/>
  <c r="K39" i="44"/>
  <c r="L39" i="44"/>
  <c r="M39" i="44"/>
  <c r="N39" i="44"/>
  <c r="O39" i="44"/>
  <c r="P39" i="44"/>
  <c r="Q39" i="44"/>
  <c r="R39" i="44"/>
  <c r="G40" i="44"/>
  <c r="S40" i="44" s="1"/>
  <c r="H40" i="44"/>
  <c r="I40" i="44"/>
  <c r="J40" i="44"/>
  <c r="K40" i="44"/>
  <c r="L40" i="44"/>
  <c r="M40" i="44"/>
  <c r="N40" i="44"/>
  <c r="O40" i="44"/>
  <c r="P40" i="44"/>
  <c r="Q40" i="44"/>
  <c r="R40" i="44"/>
  <c r="G41" i="44"/>
  <c r="S41" i="44" s="1"/>
  <c r="H41" i="44"/>
  <c r="I41" i="44"/>
  <c r="J41" i="44"/>
  <c r="K41" i="44"/>
  <c r="L41" i="44"/>
  <c r="M41" i="44"/>
  <c r="N41" i="44"/>
  <c r="O41" i="44"/>
  <c r="P41" i="44"/>
  <c r="Q41" i="44"/>
  <c r="R41" i="44"/>
  <c r="G42" i="44"/>
  <c r="S42" i="44" s="1"/>
  <c r="H42" i="44"/>
  <c r="I42" i="44"/>
  <c r="J42" i="44"/>
  <c r="K42" i="44"/>
  <c r="L42" i="44"/>
  <c r="M42" i="44"/>
  <c r="N42" i="44"/>
  <c r="O42" i="44"/>
  <c r="P42" i="44"/>
  <c r="Q42" i="44"/>
  <c r="R42" i="44"/>
  <c r="G43" i="44"/>
  <c r="S43" i="44" s="1"/>
  <c r="H43" i="44"/>
  <c r="I43" i="44"/>
  <c r="J43" i="44"/>
  <c r="K43" i="44"/>
  <c r="L43" i="44"/>
  <c r="M43" i="44"/>
  <c r="N43" i="44"/>
  <c r="O43" i="44"/>
  <c r="P43" i="44"/>
  <c r="Q43" i="44"/>
  <c r="R43" i="44"/>
  <c r="G44" i="44"/>
  <c r="S44" i="44" s="1"/>
  <c r="H44" i="44"/>
  <c r="I44" i="44"/>
  <c r="J44" i="44"/>
  <c r="K44" i="44"/>
  <c r="L44" i="44"/>
  <c r="M44" i="44"/>
  <c r="N44" i="44"/>
  <c r="O44" i="44"/>
  <c r="P44" i="44"/>
  <c r="Q44" i="44"/>
  <c r="R44" i="44"/>
  <c r="G45" i="44"/>
  <c r="S45" i="44" s="1"/>
  <c r="H45" i="44"/>
  <c r="I45" i="44"/>
  <c r="J45" i="44"/>
  <c r="K45" i="44"/>
  <c r="L45" i="44"/>
  <c r="M45" i="44"/>
  <c r="N45" i="44"/>
  <c r="O45" i="44"/>
  <c r="P45" i="44"/>
  <c r="Q45" i="44"/>
  <c r="R45" i="44"/>
  <c r="G46" i="44"/>
  <c r="S46" i="44" s="1"/>
  <c r="H46" i="44"/>
  <c r="I46" i="44"/>
  <c r="J46" i="44"/>
  <c r="K46" i="44"/>
  <c r="L46" i="44"/>
  <c r="M46" i="44"/>
  <c r="N46" i="44"/>
  <c r="O46" i="44"/>
  <c r="P46" i="44"/>
  <c r="Q46" i="44"/>
  <c r="R46" i="44"/>
  <c r="G47" i="44"/>
  <c r="S47" i="44" s="1"/>
  <c r="H47" i="44"/>
  <c r="I47" i="44"/>
  <c r="J47" i="44"/>
  <c r="K47" i="44"/>
  <c r="L47" i="44"/>
  <c r="M47" i="44"/>
  <c r="N47" i="44"/>
  <c r="O47" i="44"/>
  <c r="P47" i="44"/>
  <c r="Q47" i="44"/>
  <c r="R47" i="44"/>
  <c r="G48" i="44"/>
  <c r="S48" i="44" s="1"/>
  <c r="H48" i="44"/>
  <c r="I48" i="44"/>
  <c r="J48" i="44"/>
  <c r="K48" i="44"/>
  <c r="L48" i="44"/>
  <c r="M48" i="44"/>
  <c r="N48" i="44"/>
  <c r="O48" i="44"/>
  <c r="P48" i="44"/>
  <c r="Q48" i="44"/>
  <c r="R48" i="44"/>
  <c r="G49" i="44"/>
  <c r="S49" i="44" s="1"/>
  <c r="H49" i="44"/>
  <c r="I49" i="44"/>
  <c r="J49" i="44"/>
  <c r="K49" i="44"/>
  <c r="L49" i="44"/>
  <c r="M49" i="44"/>
  <c r="N49" i="44"/>
  <c r="O49" i="44"/>
  <c r="P49" i="44"/>
  <c r="Q49" i="44"/>
  <c r="R49" i="44"/>
  <c r="G50" i="44"/>
  <c r="S50" i="44" s="1"/>
  <c r="H50" i="44"/>
  <c r="I50" i="44"/>
  <c r="J50" i="44"/>
  <c r="K50" i="44"/>
  <c r="L50" i="44"/>
  <c r="M50" i="44"/>
  <c r="N50" i="44"/>
  <c r="O50" i="44"/>
  <c r="P50" i="44"/>
  <c r="Q50" i="44"/>
  <c r="R50" i="44"/>
  <c r="G51" i="44"/>
  <c r="S51" i="44" s="1"/>
  <c r="H51" i="44"/>
  <c r="I51" i="44"/>
  <c r="J51" i="44"/>
  <c r="K51" i="44"/>
  <c r="L51" i="44"/>
  <c r="M51" i="44"/>
  <c r="N51" i="44"/>
  <c r="O51" i="44"/>
  <c r="P51" i="44"/>
  <c r="Q51" i="44"/>
  <c r="R51" i="44"/>
  <c r="G52" i="44"/>
  <c r="S52" i="44" s="1"/>
  <c r="H52" i="44"/>
  <c r="I52" i="44"/>
  <c r="J52" i="44"/>
  <c r="K52" i="44"/>
  <c r="L52" i="44"/>
  <c r="M52" i="44"/>
  <c r="N52" i="44"/>
  <c r="O52" i="44"/>
  <c r="P52" i="44"/>
  <c r="Q52" i="44"/>
  <c r="R52" i="44"/>
  <c r="G53" i="44"/>
  <c r="S53" i="44" s="1"/>
  <c r="H53" i="44"/>
  <c r="I53" i="44"/>
  <c r="J53" i="44"/>
  <c r="K53" i="44"/>
  <c r="L53" i="44"/>
  <c r="M53" i="44"/>
  <c r="N53" i="44"/>
  <c r="O53" i="44"/>
  <c r="P53" i="44"/>
  <c r="Q53" i="44"/>
  <c r="R53" i="44"/>
  <c r="G54" i="44"/>
  <c r="S54" i="44" s="1"/>
  <c r="H54" i="44"/>
  <c r="I54" i="44"/>
  <c r="J54" i="44"/>
  <c r="K54" i="44"/>
  <c r="L54" i="44"/>
  <c r="M54" i="44"/>
  <c r="N54" i="44"/>
  <c r="O54" i="44"/>
  <c r="P54" i="44"/>
  <c r="Q54" i="44"/>
  <c r="R54" i="44"/>
  <c r="G55" i="44"/>
  <c r="S55" i="44" s="1"/>
  <c r="H55" i="44"/>
  <c r="I55" i="44"/>
  <c r="J55" i="44"/>
  <c r="K55" i="44"/>
  <c r="L55" i="44"/>
  <c r="M55" i="44"/>
  <c r="N55" i="44"/>
  <c r="O55" i="44"/>
  <c r="P55" i="44"/>
  <c r="Q55" i="44"/>
  <c r="R55" i="44"/>
  <c r="G56" i="44"/>
  <c r="S56" i="44" s="1"/>
  <c r="H56" i="44"/>
  <c r="I56" i="44"/>
  <c r="J56" i="44"/>
  <c r="K56" i="44"/>
  <c r="L56" i="44"/>
  <c r="M56" i="44"/>
  <c r="N56" i="44"/>
  <c r="O56" i="44"/>
  <c r="P56" i="44"/>
  <c r="Q56" i="44"/>
  <c r="R56" i="44"/>
  <c r="G57" i="44"/>
  <c r="S57" i="44" s="1"/>
  <c r="H57" i="44"/>
  <c r="I57" i="44"/>
  <c r="J57" i="44"/>
  <c r="K57" i="44"/>
  <c r="L57" i="44"/>
  <c r="M57" i="44"/>
  <c r="N57" i="44"/>
  <c r="O57" i="44"/>
  <c r="P57" i="44"/>
  <c r="Q57" i="44"/>
  <c r="R57" i="44"/>
  <c r="G58" i="44"/>
  <c r="S58" i="44" s="1"/>
  <c r="H58" i="44"/>
  <c r="I58" i="44"/>
  <c r="J58" i="44"/>
  <c r="K58" i="44"/>
  <c r="L58" i="44"/>
  <c r="M58" i="44"/>
  <c r="N58" i="44"/>
  <c r="O58" i="44"/>
  <c r="P58" i="44"/>
  <c r="Q58" i="44"/>
  <c r="R58" i="44"/>
  <c r="G59" i="44"/>
  <c r="S59" i="44" s="1"/>
  <c r="H59" i="44"/>
  <c r="I59" i="44"/>
  <c r="J59" i="44"/>
  <c r="K59" i="44"/>
  <c r="L59" i="44"/>
  <c r="M59" i="44"/>
  <c r="N59" i="44"/>
  <c r="O59" i="44"/>
  <c r="P59" i="44"/>
  <c r="Q59" i="44"/>
  <c r="R59" i="44"/>
  <c r="G60" i="44"/>
  <c r="S60" i="44" s="1"/>
  <c r="H60" i="44"/>
  <c r="I60" i="44"/>
  <c r="J60" i="44"/>
  <c r="K60" i="44"/>
  <c r="L60" i="44"/>
  <c r="M60" i="44"/>
  <c r="N60" i="44"/>
  <c r="O60" i="44"/>
  <c r="P60" i="44"/>
  <c r="Q60" i="44"/>
  <c r="R60" i="44"/>
  <c r="G61" i="44"/>
  <c r="S61" i="44" s="1"/>
  <c r="H61" i="44"/>
  <c r="I61" i="44"/>
  <c r="J61" i="44"/>
  <c r="K61" i="44"/>
  <c r="L61" i="44"/>
  <c r="M61" i="44"/>
  <c r="N61" i="44"/>
  <c r="O61" i="44"/>
  <c r="P61" i="44"/>
  <c r="Q61" i="44"/>
  <c r="R61" i="44"/>
  <c r="G62" i="44"/>
  <c r="S62" i="44" s="1"/>
  <c r="H62" i="44"/>
  <c r="I62" i="44"/>
  <c r="J62" i="44"/>
  <c r="K62" i="44"/>
  <c r="L62" i="44"/>
  <c r="M62" i="44"/>
  <c r="N62" i="44"/>
  <c r="O62" i="44"/>
  <c r="P62" i="44"/>
  <c r="Q62" i="44"/>
  <c r="R62" i="44"/>
  <c r="G63" i="44"/>
  <c r="S63" i="44" s="1"/>
  <c r="H63" i="44"/>
  <c r="I63" i="44"/>
  <c r="J63" i="44"/>
  <c r="K63" i="44"/>
  <c r="L63" i="44"/>
  <c r="M63" i="44"/>
  <c r="N63" i="44"/>
  <c r="O63" i="44"/>
  <c r="P63" i="44"/>
  <c r="Q63" i="44"/>
  <c r="R63" i="44"/>
  <c r="G64" i="44"/>
  <c r="S64" i="44" s="1"/>
  <c r="H64" i="44"/>
  <c r="I64" i="44"/>
  <c r="J64" i="44"/>
  <c r="K64" i="44"/>
  <c r="L64" i="44"/>
  <c r="M64" i="44"/>
  <c r="N64" i="44"/>
  <c r="O64" i="44"/>
  <c r="P64" i="44"/>
  <c r="Q64" i="44"/>
  <c r="R64" i="44"/>
  <c r="G65" i="44"/>
  <c r="S65" i="44" s="1"/>
  <c r="H65" i="44"/>
  <c r="I65" i="44"/>
  <c r="J65" i="44"/>
  <c r="K65" i="44"/>
  <c r="L65" i="44"/>
  <c r="M65" i="44"/>
  <c r="N65" i="44"/>
  <c r="O65" i="44"/>
  <c r="P65" i="44"/>
  <c r="Q65" i="44"/>
  <c r="R65" i="44"/>
  <c r="G66" i="44"/>
  <c r="S66" i="44" s="1"/>
  <c r="H66" i="44"/>
  <c r="I66" i="44"/>
  <c r="J66" i="44"/>
  <c r="K66" i="44"/>
  <c r="L66" i="44"/>
  <c r="M66" i="44"/>
  <c r="N66" i="44"/>
  <c r="O66" i="44"/>
  <c r="P66" i="44"/>
  <c r="Q66" i="44"/>
  <c r="R66" i="44"/>
  <c r="G67" i="44"/>
  <c r="S67" i="44" s="1"/>
  <c r="H67" i="44"/>
  <c r="I67" i="44"/>
  <c r="J67" i="44"/>
  <c r="K67" i="44"/>
  <c r="L67" i="44"/>
  <c r="M67" i="44"/>
  <c r="N67" i="44"/>
  <c r="O67" i="44"/>
  <c r="P67" i="44"/>
  <c r="Q67" i="44"/>
  <c r="R67" i="44"/>
  <c r="G68" i="44"/>
  <c r="S68" i="44" s="1"/>
  <c r="H68" i="44"/>
  <c r="I68" i="44"/>
  <c r="J68" i="44"/>
  <c r="K68" i="44"/>
  <c r="L68" i="44"/>
  <c r="M68" i="44"/>
  <c r="N68" i="44"/>
  <c r="O68" i="44"/>
  <c r="P68" i="44"/>
  <c r="Q68" i="44"/>
  <c r="R68" i="44"/>
  <c r="G69" i="44"/>
  <c r="S69" i="44" s="1"/>
  <c r="H69" i="44"/>
  <c r="I69" i="44"/>
  <c r="J69" i="44"/>
  <c r="K69" i="44"/>
  <c r="L69" i="44"/>
  <c r="M69" i="44"/>
  <c r="N69" i="44"/>
  <c r="O69" i="44"/>
  <c r="P69" i="44"/>
  <c r="Q69" i="44"/>
  <c r="R69" i="44"/>
  <c r="G70" i="44"/>
  <c r="S70" i="44" s="1"/>
  <c r="H70" i="44"/>
  <c r="I70" i="44"/>
  <c r="J70" i="44"/>
  <c r="K70" i="44"/>
  <c r="L70" i="44"/>
  <c r="M70" i="44"/>
  <c r="N70" i="44"/>
  <c r="O70" i="44"/>
  <c r="P70" i="44"/>
  <c r="Q70" i="44"/>
  <c r="R70" i="44"/>
  <c r="G71" i="44"/>
  <c r="S71" i="44" s="1"/>
  <c r="H71" i="44"/>
  <c r="I71" i="44"/>
  <c r="J71" i="44"/>
  <c r="K71" i="44"/>
  <c r="L71" i="44"/>
  <c r="M71" i="44"/>
  <c r="N71" i="44"/>
  <c r="O71" i="44"/>
  <c r="P71" i="44"/>
  <c r="Q71" i="44"/>
  <c r="R71" i="44"/>
  <c r="G72" i="44"/>
  <c r="S72" i="44" s="1"/>
  <c r="H72" i="44"/>
  <c r="I72" i="44"/>
  <c r="J72" i="44"/>
  <c r="K72" i="44"/>
  <c r="L72" i="44"/>
  <c r="M72" i="44"/>
  <c r="N72" i="44"/>
  <c r="O72" i="44"/>
  <c r="P72" i="44"/>
  <c r="Q72" i="44"/>
  <c r="R72" i="44"/>
  <c r="G73" i="44"/>
  <c r="S73" i="44" s="1"/>
  <c r="H73" i="44"/>
  <c r="I73" i="44"/>
  <c r="J73" i="44"/>
  <c r="K73" i="44"/>
  <c r="L73" i="44"/>
  <c r="M73" i="44"/>
  <c r="N73" i="44"/>
  <c r="O73" i="44"/>
  <c r="P73" i="44"/>
  <c r="Q73" i="44"/>
  <c r="R73" i="44"/>
  <c r="G74" i="44"/>
  <c r="S74" i="44" s="1"/>
  <c r="H74" i="44"/>
  <c r="I74" i="44"/>
  <c r="J74" i="44"/>
  <c r="K74" i="44"/>
  <c r="L74" i="44"/>
  <c r="M74" i="44"/>
  <c r="N74" i="44"/>
  <c r="O74" i="44"/>
  <c r="P74" i="44"/>
  <c r="Q74" i="44"/>
  <c r="R74" i="44"/>
  <c r="G75" i="44"/>
  <c r="S75" i="44" s="1"/>
  <c r="H75" i="44"/>
  <c r="I75" i="44"/>
  <c r="J75" i="44"/>
  <c r="K75" i="44"/>
  <c r="L75" i="44"/>
  <c r="M75" i="44"/>
  <c r="N75" i="44"/>
  <c r="O75" i="44"/>
  <c r="P75" i="44"/>
  <c r="Q75" i="44"/>
  <c r="R75" i="44"/>
  <c r="G76" i="44"/>
  <c r="S76" i="44" s="1"/>
  <c r="H76" i="44"/>
  <c r="I76" i="44"/>
  <c r="J76" i="44"/>
  <c r="K76" i="44"/>
  <c r="L76" i="44"/>
  <c r="M76" i="44"/>
  <c r="N76" i="44"/>
  <c r="O76" i="44"/>
  <c r="P76" i="44"/>
  <c r="Q76" i="44"/>
  <c r="R76" i="44"/>
  <c r="G77" i="44"/>
  <c r="S77" i="44" s="1"/>
  <c r="H77" i="44"/>
  <c r="I77" i="44"/>
  <c r="J77" i="44"/>
  <c r="K77" i="44"/>
  <c r="L77" i="44"/>
  <c r="M77" i="44"/>
  <c r="N77" i="44"/>
  <c r="O77" i="44"/>
  <c r="P77" i="44"/>
  <c r="Q77" i="44"/>
  <c r="R77" i="44"/>
  <c r="G78" i="44"/>
  <c r="S78" i="44" s="1"/>
  <c r="H78" i="44"/>
  <c r="I78" i="44"/>
  <c r="J78" i="44"/>
  <c r="K78" i="44"/>
  <c r="L78" i="44"/>
  <c r="M78" i="44"/>
  <c r="N78" i="44"/>
  <c r="O78" i="44"/>
  <c r="P78" i="44"/>
  <c r="Q78" i="44"/>
  <c r="R78" i="44"/>
  <c r="G79" i="44"/>
  <c r="S79" i="44" s="1"/>
  <c r="H79" i="44"/>
  <c r="I79" i="44"/>
  <c r="J79" i="44"/>
  <c r="K79" i="44"/>
  <c r="L79" i="44"/>
  <c r="M79" i="44"/>
  <c r="N79" i="44"/>
  <c r="O79" i="44"/>
  <c r="P79" i="44"/>
  <c r="Q79" i="44"/>
  <c r="R79" i="44"/>
  <c r="G80" i="44"/>
  <c r="S80" i="44" s="1"/>
  <c r="H80" i="44"/>
  <c r="I80" i="44"/>
  <c r="J80" i="44"/>
  <c r="K80" i="44"/>
  <c r="L80" i="44"/>
  <c r="M80" i="44"/>
  <c r="N80" i="44"/>
  <c r="O80" i="44"/>
  <c r="P80" i="44"/>
  <c r="Q80" i="44"/>
  <c r="R80" i="44"/>
  <c r="G81" i="44"/>
  <c r="S81" i="44" s="1"/>
  <c r="H81" i="44"/>
  <c r="I81" i="44"/>
  <c r="J81" i="44"/>
  <c r="K81" i="44"/>
  <c r="L81" i="44"/>
  <c r="M81" i="44"/>
  <c r="N81" i="44"/>
  <c r="O81" i="44"/>
  <c r="P81" i="44"/>
  <c r="Q81" i="44"/>
  <c r="R81" i="44"/>
  <c r="G82" i="44"/>
  <c r="S82" i="44" s="1"/>
  <c r="H82" i="44"/>
  <c r="I82" i="44"/>
  <c r="J82" i="44"/>
  <c r="K82" i="44"/>
  <c r="L82" i="44"/>
  <c r="M82" i="44"/>
  <c r="N82" i="44"/>
  <c r="O82" i="44"/>
  <c r="P82" i="44"/>
  <c r="Q82" i="44"/>
  <c r="R82" i="44"/>
  <c r="G83" i="44"/>
  <c r="S83" i="44" s="1"/>
  <c r="H83" i="44"/>
  <c r="I83" i="44"/>
  <c r="J83" i="44"/>
  <c r="K83" i="44"/>
  <c r="L83" i="44"/>
  <c r="M83" i="44"/>
  <c r="N83" i="44"/>
  <c r="O83" i="44"/>
  <c r="P83" i="44"/>
  <c r="Q83" i="44"/>
  <c r="R83" i="44"/>
  <c r="G84" i="44"/>
  <c r="S84" i="44" s="1"/>
  <c r="H84" i="44"/>
  <c r="I84" i="44"/>
  <c r="J84" i="44"/>
  <c r="K84" i="44"/>
  <c r="L84" i="44"/>
  <c r="M84" i="44"/>
  <c r="N84" i="44"/>
  <c r="O84" i="44"/>
  <c r="P84" i="44"/>
  <c r="Q84" i="44"/>
  <c r="R84" i="44"/>
  <c r="G85" i="44"/>
  <c r="S85" i="44" s="1"/>
  <c r="H85" i="44"/>
  <c r="I85" i="44"/>
  <c r="J85" i="44"/>
  <c r="K85" i="44"/>
  <c r="L85" i="44"/>
  <c r="M85" i="44"/>
  <c r="N85" i="44"/>
  <c r="O85" i="44"/>
  <c r="P85" i="44"/>
  <c r="Q85" i="44"/>
  <c r="R85" i="44"/>
  <c r="G86" i="44"/>
  <c r="S86" i="44" s="1"/>
  <c r="H86" i="44"/>
  <c r="I86" i="44"/>
  <c r="J86" i="44"/>
  <c r="K86" i="44"/>
  <c r="L86" i="44"/>
  <c r="M86" i="44"/>
  <c r="N86" i="44"/>
  <c r="O86" i="44"/>
  <c r="P86" i="44"/>
  <c r="Q86" i="44"/>
  <c r="R86" i="44"/>
  <c r="G87" i="44"/>
  <c r="S87" i="44" s="1"/>
  <c r="H87" i="44"/>
  <c r="I87" i="44"/>
  <c r="J87" i="44"/>
  <c r="K87" i="44"/>
  <c r="L87" i="44"/>
  <c r="M87" i="44"/>
  <c r="N87" i="44"/>
  <c r="O87" i="44"/>
  <c r="P87" i="44"/>
  <c r="Q87" i="44"/>
  <c r="R87" i="44"/>
  <c r="G88" i="44"/>
  <c r="S88" i="44" s="1"/>
  <c r="H88" i="44"/>
  <c r="I88" i="44"/>
  <c r="J88" i="44"/>
  <c r="K88" i="44"/>
  <c r="L88" i="44"/>
  <c r="M88" i="44"/>
  <c r="N88" i="44"/>
  <c r="O88" i="44"/>
  <c r="P88" i="44"/>
  <c r="Q88" i="44"/>
  <c r="R88" i="44"/>
  <c r="H7" i="44"/>
  <c r="I7" i="44"/>
  <c r="J7" i="44"/>
  <c r="K7" i="44"/>
  <c r="L7" i="44"/>
  <c r="M7" i="44"/>
  <c r="N7" i="44"/>
  <c r="O7" i="44"/>
  <c r="G7" i="44"/>
  <c r="S7" i="44" s="1"/>
  <c r="R89" i="44"/>
  <c r="Q89" i="44"/>
  <c r="P89" i="44"/>
  <c r="O89" i="44"/>
  <c r="N89" i="44"/>
  <c r="M89" i="44"/>
  <c r="L89" i="44"/>
  <c r="K89" i="44"/>
  <c r="J89" i="44"/>
  <c r="I89" i="44"/>
  <c r="H89" i="44"/>
  <c r="G89" i="44"/>
  <c r="S89" i="44" s="1"/>
  <c r="R6" i="44"/>
  <c r="R91" i="44" s="1"/>
  <c r="Q6" i="44"/>
  <c r="Q91" i="44" s="1"/>
  <c r="P6" i="44"/>
  <c r="P91" i="44" s="1"/>
  <c r="O6" i="44"/>
  <c r="O91" i="44" s="1"/>
  <c r="N6" i="44"/>
  <c r="N91" i="44" s="1"/>
  <c r="M6" i="44"/>
  <c r="M91" i="44" s="1"/>
  <c r="L6" i="44"/>
  <c r="L91" i="44" s="1"/>
  <c r="K6" i="44"/>
  <c r="K91" i="44" s="1"/>
  <c r="J6" i="44"/>
  <c r="J91" i="44" s="1"/>
  <c r="I6" i="44"/>
  <c r="I91" i="44" s="1"/>
  <c r="H6" i="44"/>
  <c r="H91" i="44" s="1"/>
  <c r="G6" i="44"/>
  <c r="G91" i="44" s="1"/>
  <c r="S91" i="44" s="1"/>
  <c r="T95" i="44"/>
  <c r="F16" i="40"/>
  <c r="P7" i="44" l="1"/>
  <c r="Q7" i="44" l="1"/>
  <c r="R7" i="44" l="1"/>
</calcChain>
</file>

<file path=xl/sharedStrings.xml><?xml version="1.0" encoding="utf-8"?>
<sst xmlns="http://schemas.openxmlformats.org/spreadsheetml/2006/main" count="669" uniqueCount="207">
  <si>
    <t>Reponsibility</t>
    <phoneticPr fontId="4" type="noConversion"/>
  </si>
  <si>
    <t>Dept.</t>
    <phoneticPr fontId="4" type="noConversion"/>
  </si>
  <si>
    <t>Summary</t>
    <phoneticPr fontId="4" type="noConversion"/>
  </si>
  <si>
    <t>Budget</t>
  </si>
  <si>
    <t>Category</t>
  </si>
  <si>
    <t>Responsible</t>
  </si>
  <si>
    <t>Administration Sub-Total</t>
  </si>
  <si>
    <t>Description</t>
  </si>
  <si>
    <t>1: Please don't delete or add lines.if you have some special items which are not included in this tab,please add it below sub-total line .</t>
  </si>
  <si>
    <t>Notice:</t>
  </si>
  <si>
    <t>Cost Center</t>
  </si>
  <si>
    <t>Department</t>
  </si>
  <si>
    <t>Comments
(for detail)</t>
  </si>
  <si>
    <t>Korea</t>
    <phoneticPr fontId="4" type="noConversion"/>
  </si>
  <si>
    <t>K01</t>
  </si>
  <si>
    <t>K01</t>
    <phoneticPr fontId="4" type="noConversion"/>
  </si>
  <si>
    <t>Engineer</t>
  </si>
  <si>
    <t>Engineer</t>
    <phoneticPr fontId="4" type="noConversion"/>
  </si>
  <si>
    <t>Indirect Labour Hourly</t>
  </si>
  <si>
    <t>Salary - Monthly</t>
  </si>
  <si>
    <t>Overtime  - Indirect</t>
  </si>
  <si>
    <t>Overtime Premium - Indirect</t>
  </si>
  <si>
    <t>Pension &amp; Insurance</t>
  </si>
  <si>
    <t>Lunch Allowance</t>
  </si>
  <si>
    <t>Fringe</t>
  </si>
  <si>
    <t>Experimental Materials</t>
  </si>
  <si>
    <t>Stationary&amp;General Office Supplies</t>
  </si>
  <si>
    <t>EDP printing charges- paper, Ink, binding</t>
  </si>
  <si>
    <t>Canteen charges</t>
  </si>
  <si>
    <t>Minor  F&amp; F &lt;=US$1500</t>
  </si>
  <si>
    <t>Minor  Office EQPT &lt;=US$1500</t>
  </si>
  <si>
    <t>Minor EDP EQPT-IT related</t>
  </si>
  <si>
    <t>Upkeep &amp; Janitorial (cleaning supplies)</t>
  </si>
  <si>
    <t>Automotive Fuel &amp; Repair</t>
  </si>
  <si>
    <t>Vehicle Rental &amp; Expense</t>
  </si>
  <si>
    <t>Miscellaneous Supplies</t>
  </si>
  <si>
    <t>Professional services</t>
  </si>
  <si>
    <t>Legal Fees</t>
  </si>
  <si>
    <t>Audit Fees  (Finance Department only)</t>
  </si>
  <si>
    <t>Management Consulting Fees</t>
  </si>
  <si>
    <t>IT Outside costs (EDP)</t>
  </si>
  <si>
    <t xml:space="preserve">IT Maint - H/W or S/W (EDP) </t>
  </si>
  <si>
    <t>Outside Clerical Help(Parttimer)</t>
  </si>
  <si>
    <t>Outside Services - Labor</t>
  </si>
  <si>
    <t>Advertising - Other</t>
  </si>
  <si>
    <t>Technical Advertising</t>
  </si>
  <si>
    <t>Shows &amp; Exhibits</t>
  </si>
  <si>
    <t>Office Management/Office Parking</t>
  </si>
  <si>
    <t>Janitorial /Daeku office Secom</t>
  </si>
  <si>
    <t>Repairs -Office Equip. F&amp;F</t>
  </si>
  <si>
    <t>Electricity/Daeku Office</t>
  </si>
  <si>
    <t>Water</t>
  </si>
  <si>
    <t>Gas &amp; Fuel/Office Car</t>
  </si>
  <si>
    <t>Employee mobilephone - International Call &amp; Roaming</t>
  </si>
  <si>
    <t>Office Telephone - Local &amp; international call</t>
  </si>
  <si>
    <t xml:space="preserve">Employee Mobilephone - local call </t>
  </si>
  <si>
    <t>Postage</t>
  </si>
  <si>
    <t>Communication-Sprint chg (Conf call charge)</t>
  </si>
  <si>
    <t>Transfer Price</t>
  </si>
  <si>
    <t>Recruiters' Expense-Travel</t>
  </si>
  <si>
    <t>Employment Agency Fees</t>
  </si>
  <si>
    <t>Help Wanted Advertising</t>
  </si>
  <si>
    <t>Pre-Employment (Job applicats' expns )</t>
  </si>
  <si>
    <t>New EMP-Relocation</t>
  </si>
  <si>
    <t>New EMP-Medical &amp; Other</t>
  </si>
  <si>
    <t>Travel Meals ( food,beverage,tip,&amp; taxes)</t>
  </si>
  <si>
    <t>Travel-Local &amp; insterstate Travel</t>
  </si>
  <si>
    <t>Travel-Personal Car use ( mileages )</t>
  </si>
  <si>
    <t>Travel-Lodging</t>
  </si>
  <si>
    <t>Travel-Overseas</t>
  </si>
  <si>
    <t>Entertainment /Customer</t>
  </si>
  <si>
    <t>Business Non-travel Expenses except meal,refreshement</t>
  </si>
  <si>
    <t xml:space="preserve">Business Gifts/customer wedd,condolance </t>
  </si>
  <si>
    <t>Existing Employee Relocation Expense</t>
  </si>
  <si>
    <t>Medical Exps</t>
  </si>
  <si>
    <t>Books and Subscriptions</t>
  </si>
  <si>
    <t>Education and Training/ Budget all HR</t>
  </si>
  <si>
    <t>Memberships and Dues</t>
  </si>
  <si>
    <t>Employee Meal Exps /OT meal,empl</t>
  </si>
  <si>
    <t xml:space="preserve">Publications for employees    </t>
  </si>
  <si>
    <t xml:space="preserve">Recreation and Welfare  </t>
  </si>
  <si>
    <t>Other Miscellaneous</t>
  </si>
  <si>
    <t>Express Freight /Quick servide/DHL</t>
  </si>
  <si>
    <t>Provision for new product prototypes</t>
  </si>
  <si>
    <t>Bank charges &amp; Misc</t>
  </si>
  <si>
    <t>EDP  Rentals</t>
  </si>
  <si>
    <t>Company Vehicle Expenses</t>
  </si>
  <si>
    <t>Property Rates</t>
  </si>
  <si>
    <t>Rent Real estate-</t>
  </si>
  <si>
    <t>Rent-copier,fax,other</t>
  </si>
  <si>
    <t>Taxed-provincial,state</t>
  </si>
  <si>
    <t>Incremental acquisition costs</t>
  </si>
  <si>
    <t>Operation Exp-Admin-Oper.all</t>
  </si>
  <si>
    <t>Operating Exp-Admin-Oper.all(External)</t>
  </si>
  <si>
    <t>Telephone</t>
  </si>
  <si>
    <t>Expat related expense</t>
  </si>
  <si>
    <t>Expat Aprtment Rental</t>
  </si>
  <si>
    <t>In:KRW'000</t>
    <phoneticPr fontId="4" type="noConversion"/>
  </si>
  <si>
    <t>Local  account</t>
    <phoneticPr fontId="4" type="noConversion"/>
  </si>
  <si>
    <t>K02</t>
    <phoneticPr fontId="4" type="noConversion"/>
  </si>
  <si>
    <t>K04</t>
    <phoneticPr fontId="4" type="noConversion"/>
  </si>
  <si>
    <t>K05</t>
    <phoneticPr fontId="4" type="noConversion"/>
  </si>
  <si>
    <t>All</t>
  </si>
  <si>
    <t>All</t>
    <phoneticPr fontId="4" type="noConversion"/>
  </si>
  <si>
    <t>Sales</t>
    <phoneticPr fontId="4" type="noConversion"/>
  </si>
  <si>
    <t>K03</t>
    <phoneticPr fontId="4" type="noConversion"/>
  </si>
  <si>
    <t>CNY</t>
  </si>
  <si>
    <t>BRL</t>
  </si>
  <si>
    <t>GBP</t>
  </si>
  <si>
    <t>INR</t>
  </si>
  <si>
    <t>JPY</t>
  </si>
  <si>
    <t>EUR</t>
  </si>
  <si>
    <t>CZK</t>
  </si>
  <si>
    <t>CAD</t>
  </si>
  <si>
    <t>RON</t>
  </si>
  <si>
    <t>PLN</t>
  </si>
  <si>
    <t>MXN</t>
  </si>
  <si>
    <t>Korea</t>
  </si>
  <si>
    <t>Quality</t>
  </si>
  <si>
    <t>K06</t>
  </si>
  <si>
    <t>SD</t>
  </si>
  <si>
    <t>SEK</t>
  </si>
  <si>
    <t>ZAR</t>
  </si>
  <si>
    <t>AUD</t>
  </si>
  <si>
    <t>Comments</t>
    <phoneticPr fontId="62" type="noConversion"/>
  </si>
  <si>
    <t>Description</t>
    <phoneticPr fontId="63" type="noConversion"/>
  </si>
  <si>
    <t>Department</t>
    <phoneticPr fontId="63" type="noConversion"/>
  </si>
  <si>
    <t>Charge to KDS</t>
  </si>
  <si>
    <t>HFM Account</t>
  </si>
  <si>
    <t>USD per local currency</t>
  </si>
  <si>
    <t>Local currency per USD</t>
  </si>
  <si>
    <t>KRWT</t>
  </si>
  <si>
    <t>Quality</t>
    <phoneticPr fontId="62" type="noConversion"/>
  </si>
  <si>
    <t>Eng.</t>
    <phoneticPr fontId="62" type="noConversion"/>
  </si>
  <si>
    <t>Inteva Korea</t>
    <phoneticPr fontId="69" type="noConversion"/>
  </si>
  <si>
    <t>No.</t>
    <phoneticPr fontId="69" type="noConversion"/>
  </si>
  <si>
    <t>Type</t>
    <phoneticPr fontId="69" type="noConversion"/>
  </si>
  <si>
    <t>Dept.</t>
    <phoneticPr fontId="69" type="noConversion"/>
  </si>
  <si>
    <t>Name</t>
    <phoneticPr fontId="69" type="noConversion"/>
  </si>
  <si>
    <t>Position</t>
    <phoneticPr fontId="69" type="noConversion"/>
  </si>
  <si>
    <t>Location</t>
    <phoneticPr fontId="69" type="noConversion"/>
  </si>
  <si>
    <t>K01</t>
    <phoneticPr fontId="69" type="noConversion"/>
  </si>
  <si>
    <t>Eng.</t>
    <phoneticPr fontId="69" type="noConversion"/>
  </si>
  <si>
    <t>KH Jeong</t>
    <phoneticPr fontId="69" type="noConversion"/>
  </si>
  <si>
    <t>Appliacation Engineer</t>
    <phoneticPr fontId="69" type="noConversion"/>
  </si>
  <si>
    <t>Seoul</t>
    <phoneticPr fontId="69" type="noConversion"/>
  </si>
  <si>
    <t>K01-1</t>
    <phoneticPr fontId="69" type="noConversion"/>
  </si>
  <si>
    <t>DS Park</t>
    <phoneticPr fontId="69" type="noConversion"/>
  </si>
  <si>
    <t>Program Manager</t>
    <phoneticPr fontId="69" type="noConversion"/>
  </si>
  <si>
    <t>K02</t>
    <phoneticPr fontId="70" type="noConversion"/>
  </si>
  <si>
    <t>Sales Director</t>
    <phoneticPr fontId="69" type="noConversion"/>
  </si>
  <si>
    <t>YS Kwak</t>
    <phoneticPr fontId="69" type="noConversion"/>
  </si>
  <si>
    <t>Quality Engineer</t>
    <phoneticPr fontId="69" type="noConversion"/>
  </si>
  <si>
    <t>K04</t>
    <phoneticPr fontId="69" type="noConversion"/>
  </si>
  <si>
    <t>HR.Admin</t>
    <phoneticPr fontId="69" type="noConversion"/>
  </si>
  <si>
    <t>Jeonghee Park</t>
    <phoneticPr fontId="69" type="noConversion"/>
  </si>
  <si>
    <t>HR Supervisor</t>
    <phoneticPr fontId="69" type="noConversion"/>
  </si>
  <si>
    <t>K05</t>
    <phoneticPr fontId="69" type="noConversion"/>
  </si>
  <si>
    <t>WS Ryu</t>
    <phoneticPr fontId="69" type="noConversion"/>
  </si>
  <si>
    <t>Managing Director</t>
    <phoneticPr fontId="69" type="noConversion"/>
  </si>
  <si>
    <t>K06</t>
    <phoneticPr fontId="69" type="noConversion"/>
  </si>
  <si>
    <t>SD</t>
    <phoneticPr fontId="69" type="noConversion"/>
  </si>
  <si>
    <t>SY Chun</t>
    <phoneticPr fontId="69" type="noConversion"/>
  </si>
  <si>
    <t>Sr. SD &amp; Quality Manager</t>
    <phoneticPr fontId="69" type="noConversion"/>
  </si>
  <si>
    <t>HS Park</t>
    <phoneticPr fontId="69" type="noConversion"/>
  </si>
  <si>
    <t>SD Manager</t>
    <phoneticPr fontId="69" type="noConversion"/>
  </si>
  <si>
    <t>Total Budget</t>
    <phoneticPr fontId="4" type="noConversion"/>
  </si>
  <si>
    <t>Budget</t>
    <phoneticPr fontId="4" type="noConversion"/>
  </si>
  <si>
    <t>FY19 Headcount Forecast</t>
    <phoneticPr fontId="69" type="noConversion"/>
  </si>
  <si>
    <t>Profit Sharing 5%</t>
  </si>
  <si>
    <t>Other Allowance/unused allual leave/</t>
  </si>
  <si>
    <t>Meals and business events/Workshop</t>
  </si>
  <si>
    <t>Depreciation</t>
  </si>
  <si>
    <t>Task</t>
  </si>
  <si>
    <t>FY22</t>
  </si>
  <si>
    <t>Admin/FIN</t>
    <phoneticPr fontId="4" type="noConversion"/>
  </si>
  <si>
    <t>Task(The amount deducted is from Onestream)</t>
  </si>
  <si>
    <t>EH Kim</t>
    <phoneticPr fontId="69" type="noConversion"/>
  </si>
  <si>
    <t>Gyeongsan</t>
    <phoneticPr fontId="69" type="noConversion"/>
  </si>
  <si>
    <t>Sales</t>
    <phoneticPr fontId="68" type="noConversion"/>
  </si>
  <si>
    <t>K03</t>
    <phoneticPr fontId="68" type="noConversion"/>
  </si>
  <si>
    <t>Quality</t>
    <phoneticPr fontId="68" type="noConversion"/>
  </si>
  <si>
    <t>Operation</t>
    <phoneticPr fontId="69" type="noConversion"/>
  </si>
  <si>
    <t>Sales</t>
    <phoneticPr fontId="63" type="noConversion"/>
  </si>
  <si>
    <t>SH Park</t>
    <phoneticPr fontId="69" type="noConversion"/>
  </si>
  <si>
    <t>Operation</t>
    <phoneticPr fontId="4" type="noConversion"/>
  </si>
  <si>
    <t>2:Please fill the comments in column T to explain the detail about how you calculate this expense,so that we can have a clear picture, and also please add comments in column AI to explain the variance between FY25 and FY24.</t>
  </si>
  <si>
    <r>
      <t xml:space="preserve">FY25 </t>
    </r>
    <r>
      <rPr>
        <sz val="10"/>
        <rFont val="Arial"/>
        <family val="2"/>
      </rPr>
      <t>Budget</t>
    </r>
  </si>
  <si>
    <t>FY24 Budget</t>
  </si>
  <si>
    <t>Postage/DHL</t>
    <phoneticPr fontId="4" type="noConversion"/>
  </si>
  <si>
    <r>
      <t>OpEx-FRRoy_FDC423/</t>
    </r>
    <r>
      <rPr>
        <sz val="10"/>
        <color rgb="FFFF0000"/>
        <rFont val="Arial"/>
        <family val="2"/>
      </rPr>
      <t>Depreciation</t>
    </r>
    <phoneticPr fontId="4" type="noConversion"/>
  </si>
  <si>
    <t>Department Expense FY26</t>
  </si>
  <si>
    <t>FY26</t>
  </si>
  <si>
    <t>2026 Budget  (Nov 2025~Oct 2026)</t>
  </si>
  <si>
    <t>SD</t>
    <phoneticPr fontId="62" type="noConversion"/>
  </si>
  <si>
    <t>Stationary&amp;Working from homeoffice</t>
    <phoneticPr fontId="4" type="noConversion"/>
  </si>
  <si>
    <t>Office Fax</t>
    <phoneticPr fontId="4" type="noConversion"/>
  </si>
  <si>
    <t>Laptop</t>
    <phoneticPr fontId="62" type="noConversion"/>
  </si>
  <si>
    <t>Dept.</t>
    <phoneticPr fontId="68" type="noConversion"/>
  </si>
  <si>
    <t>RGM10</t>
    <phoneticPr fontId="68" type="noConversion"/>
  </si>
  <si>
    <t>New Dept.</t>
    <phoneticPr fontId="4" type="noConversion"/>
  </si>
  <si>
    <t xml:space="preserve">RGM10
</t>
    <phoneticPr fontId="4" type="noConversion"/>
  </si>
  <si>
    <t>Headcount : Total 9 employees</t>
    <phoneticPr fontId="84" type="noConversion"/>
  </si>
  <si>
    <t>Dept.: RGM10</t>
    <phoneticPr fontId="84" type="noConversion"/>
  </si>
  <si>
    <t>Actual</t>
  </si>
  <si>
    <t>Differ</t>
  </si>
  <si>
    <t>OpEx-THQ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</si>
</sst>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8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_ ;_ * \-#,##0_ ;_ * &quot;-&quot;_ ;_ @_ "/>
    <numFmt numFmtId="165" formatCode="_ &quot;¥&quot;* #,##0.00_ ;_ &quot;¥&quot;* \-#,##0.00_ ;_ &quot;¥&quot;* &quot;-&quot;??_ ;_ @_ "/>
    <numFmt numFmtId="166" formatCode="_ * #,##0.00_ ;_ * \-#,##0.00_ ;_ * &quot;-&quot;??_ ;_ @_ "/>
    <numFmt numFmtId="167" formatCode="#,##0;[Red]#,##0"/>
    <numFmt numFmtId="168" formatCode="0_);[Red]\(0\)"/>
    <numFmt numFmtId="169" formatCode="[$-409]mmm/yy;@"/>
    <numFmt numFmtId="170" formatCode="_(* #,##0_);_(* \(#,##0\);_(* &quot;-&quot;??_);_(@_)"/>
    <numFmt numFmtId="171" formatCode="[$-409]mmm\-yy;@"/>
    <numFmt numFmtId="172" formatCode="#,##0.0,\ &quot;TDM&quot;"/>
    <numFmt numFmtId="173" formatCode="#,##0;\(#,##0\)"/>
    <numFmt numFmtId="174" formatCode="\ General\ ;\ \-General\ ;"/>
    <numFmt numFmtId="175" formatCode="_-[$€]* #,##0.00_-;\-[$€]* #,##0.00_-;_-[$€]* &quot;-&quot;??_-;_-@_-"/>
    <numFmt numFmtId="176" formatCode="mmmm\-yy"/>
    <numFmt numFmtId="177" formatCode="_-* #,##0\ _P_t_a_-;\-* #,##0\ _P_t_a_-;_-* &quot;-&quot;\ _P_t_a_-;_-@_-"/>
    <numFmt numFmtId="178" formatCode="_-* #,##0.00\ _P_t_a_-;\-* #,##0.00\ _P_t_a_-;_-* &quot;-&quot;??\ _P_t_a_-;_-@_-"/>
    <numFmt numFmtId="179" formatCode="_-* #,##0.00\ _K_č_-;\-* #,##0.00\ _K_č_-;_-* &quot;-&quot;??\ _K_č_-;_-@_-"/>
    <numFmt numFmtId="180" formatCode="_(&quot;R$&quot;* #,##0.00_);_(&quot;R$&quot;* \(#,##0.00\);_(&quot;R$&quot;* &quot;-&quot;??_);_(@_)"/>
    <numFmt numFmtId="181" formatCode="_-* #,##0\ &quot;Pta&quot;_-;\-* #,##0\ &quot;Pta&quot;_-;_-* &quot;-&quot;\ &quot;Pta&quot;_-;_-@_-"/>
    <numFmt numFmtId="182" formatCode="_-* #,##0.00\ &quot;Pta&quot;_-;\-* #,##0.00\ &quot;Pta&quot;_-;_-* &quot;-&quot;??\ &quot;Pta&quot;_-;_-@_-"/>
    <numFmt numFmtId="183" formatCode="0.00_)"/>
    <numFmt numFmtId="184" formatCode="0%_);\(0%\)"/>
    <numFmt numFmtId="185" formatCode="_-&quot;€&quot;\ * #,##0_-;\-&quot;€&quot;\ * #,##0_-;_-&quot;€&quot;\ * &quot;-&quot;_-;_-@_-"/>
    <numFmt numFmtId="186" formatCode="_-&quot;fl&quot;\ * #,##0_-;_-&quot;fl&quot;\ * #,##0\-;_-&quot;fl&quot;\ * &quot;-&quot;_-;_-@_-"/>
    <numFmt numFmtId="187" formatCode="_-&quot;fl&quot;\ * #,##0.00_-;_-&quot;fl&quot;\ * #,##0.00\-;_-&quot;fl&quot;\ * &quot;-&quot;??_-;_-@_-"/>
    <numFmt numFmtId="188" formatCode="&quot;(&quot;0%&quot;)   &quot;;[Red]\-&quot;(&quot;0%&quot;)   &quot;;&quot;－    &quot;"/>
    <numFmt numFmtId="189" formatCode="&quot;(&quot;0.00%&quot;)   &quot;;[Red]\-&quot;(&quot;0.00%&quot;)   &quot;;&quot;－    &quot;"/>
    <numFmt numFmtId="190" formatCode="0.00%;[Red]\-0.00%;&quot;－&quot;"/>
    <numFmt numFmtId="191" formatCode="0.0%"/>
    <numFmt numFmtId="192" formatCode="0.00000"/>
    <numFmt numFmtId="193" formatCode="_(* #,##0.000_);_(* \(#,##0.000\);_(* &quot;-&quot;??_);_(@_)"/>
    <numFmt numFmtId="194" formatCode="#,##0_ ;[Red]\-#,##0\ "/>
    <numFmt numFmtId="195" formatCode="#,##0.00000_);[Red]\(#,##0.00000\)"/>
    <numFmt numFmtId="196" formatCode="#,##0.0;\-#,##0.0"/>
    <numFmt numFmtId="197" formatCode="#,##0.00;[Red]#,##0.00"/>
  </numFmts>
  <fonts count="86">
    <font>
      <sz val="10"/>
      <name val="MS Sans Serif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name val="MS Sans Serif"/>
      <family val="2"/>
    </font>
    <font>
      <sz val="9"/>
      <name val="宋体"/>
      <family val="3"/>
      <charset val="129"/>
    </font>
    <font>
      <sz val="9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sz val="10"/>
      <name val="Arial Black"/>
      <family val="2"/>
    </font>
    <font>
      <b/>
      <sz val="14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color indexed="10"/>
      <name val="Arial Black"/>
      <family val="2"/>
    </font>
    <font>
      <sz val="12"/>
      <name val="宋体"/>
      <family val="3"/>
      <charset val="134"/>
    </font>
    <font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9"/>
      <color indexed="10"/>
      <name val="Arial"/>
      <family val="2"/>
    </font>
    <font>
      <sz val="12"/>
      <name val="宋体"/>
      <family val="3"/>
      <charset val="134"/>
    </font>
    <font>
      <sz val="10"/>
      <name val="Helv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17"/>
      <name val="Calibri"/>
      <family val="2"/>
    </font>
    <font>
      <b/>
      <sz val="10"/>
      <name val="MS Serif"/>
      <family val="1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8"/>
      <name val="Arial"/>
      <family val="2"/>
    </font>
    <font>
      <sz val="8"/>
      <name val="Arial"/>
      <family val="2"/>
    </font>
    <font>
      <sz val="12"/>
      <color indexed="8"/>
      <name val="Arial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color indexed="8"/>
      <name val="Helv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u val="singleAccounting"/>
      <sz val="10"/>
      <name val="Arial"/>
      <family val="2"/>
    </font>
    <font>
      <b/>
      <u val="doubleAccounting"/>
      <sz val="10"/>
      <name val="Arial"/>
      <family val="2"/>
    </font>
    <font>
      <u/>
      <sz val="8"/>
      <color indexed="12"/>
      <name val="Arial"/>
      <family val="2"/>
    </font>
    <font>
      <sz val="11"/>
      <color indexed="20"/>
      <name val="Calibri"/>
      <family val="2"/>
    </font>
    <font>
      <u/>
      <sz val="10"/>
      <color indexed="12"/>
      <name val="Arial"/>
      <family val="2"/>
    </font>
    <font>
      <sz val="10"/>
      <name val="Times New Roman"/>
      <family val="1"/>
    </font>
    <font>
      <sz val="10"/>
      <name val="Arial CE"/>
      <family val="2"/>
      <charset val="238"/>
    </font>
    <font>
      <sz val="11"/>
      <color indexed="60"/>
      <name val="Calibri"/>
      <family val="2"/>
    </font>
    <font>
      <sz val="10"/>
      <name val="Courier"/>
      <family val="3"/>
    </font>
    <font>
      <sz val="10"/>
      <color indexed="8"/>
      <name val="MS Sans Serif"/>
      <family val="2"/>
    </font>
    <font>
      <b/>
      <i/>
      <sz val="16"/>
      <name val="Helv"/>
      <family val="2"/>
    </font>
    <font>
      <sz val="10"/>
      <name val="Arial"/>
      <family val="2"/>
      <charset val="238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0"/>
      <color indexed="10"/>
      <name val="Arial"/>
      <family val="2"/>
    </font>
    <font>
      <b/>
      <sz val="18"/>
      <color indexed="56"/>
      <name val="Cambria"/>
      <family val="1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sz val="10"/>
      <name val="Tms Rmn"/>
      <family val="1"/>
    </font>
    <font>
      <sz val="11"/>
      <name val="ＭＳ ゴシック"/>
      <family val="3"/>
      <charset val="128"/>
    </font>
    <font>
      <b/>
      <sz val="14"/>
      <name val="ＭＳ Ｐゴシック"/>
      <family val="2"/>
      <charset val="128"/>
    </font>
    <font>
      <sz val="14"/>
      <name val="ＭＳ 明朝"/>
      <family val="3"/>
      <charset val="128"/>
    </font>
    <font>
      <sz val="11"/>
      <name val="ＭＳ 明朝"/>
      <family val="3"/>
      <charset val="128"/>
    </font>
    <font>
      <sz val="8"/>
      <name val="돋움"/>
      <family val="2"/>
      <charset val="129"/>
    </font>
    <font>
      <sz val="9"/>
      <name val="宋体"/>
      <family val="3"/>
      <charset val="134"/>
    </font>
    <font>
      <b/>
      <sz val="10"/>
      <color indexed="12"/>
      <name val="Arial"/>
      <family val="2"/>
    </font>
    <font>
      <sz val="11"/>
      <name val="돋움"/>
      <family val="2"/>
      <charset val="129"/>
    </font>
    <font>
      <sz val="9"/>
      <name val="宋体"/>
      <family val="3"/>
      <charset val="134"/>
    </font>
    <font>
      <sz val="10"/>
      <name val="Arial Unicode MS"/>
      <family val="2"/>
      <charset val="129"/>
    </font>
    <font>
      <sz val="9"/>
      <name val="宋体"/>
      <family val="3"/>
      <charset val="134"/>
    </font>
    <font>
      <sz val="8"/>
      <name val="맑은 고딕"/>
      <family val="2"/>
      <charset val="129"/>
    </font>
    <font>
      <sz val="8"/>
      <name val="돋움"/>
      <family val="2"/>
      <charset val="129"/>
    </font>
    <font>
      <sz val="24"/>
      <name val="Arial Unicode MS"/>
      <family val="2"/>
      <charset val="129"/>
    </font>
    <font>
      <sz val="12"/>
      <name val="宋体"/>
      <family val="3"/>
      <charset val="134"/>
    </font>
    <font>
      <b/>
      <sz val="9"/>
      <color rgb="FF0000FF"/>
      <name val="Arial"/>
      <family val="2"/>
    </font>
    <font>
      <b/>
      <sz val="11"/>
      <color theme="1"/>
      <name val="Arial"/>
      <family val="2"/>
    </font>
    <font>
      <strike/>
      <sz val="11"/>
      <color theme="1"/>
      <name val="Arial"/>
      <family val="2"/>
    </font>
    <font>
      <b/>
      <sz val="14"/>
      <color theme="1"/>
      <name val="Arial Unicode MS"/>
      <family val="2"/>
      <charset val="129"/>
    </font>
    <font>
      <b/>
      <sz val="11"/>
      <color theme="1"/>
      <name val="Arial Unicode MS"/>
      <family val="2"/>
      <charset val="129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1"/>
      <color theme="1"/>
      <name val="Calibri"/>
      <family val="3"/>
      <charset val="129"/>
      <scheme val="minor"/>
    </font>
    <font>
      <b/>
      <sz val="9"/>
      <color rgb="FFFF0000"/>
      <name val="Arial"/>
      <family val="2"/>
    </font>
    <font>
      <b/>
      <sz val="12"/>
      <name val="MS Sans Serif"/>
    </font>
    <font>
      <b/>
      <sz val="12"/>
      <name val="MS Sans Serif"/>
      <family val="2"/>
    </font>
    <font>
      <sz val="8"/>
      <name val="돋움"/>
      <family val="3"/>
      <charset val="129"/>
    </font>
    <font>
      <b/>
      <sz val="12"/>
      <color theme="1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17"/>
        <bgColor indexed="9"/>
      </patternFill>
    </fill>
    <fill>
      <patternFill patternType="solid">
        <fgColor indexed="17"/>
        <bgColor indexed="64"/>
      </patternFill>
    </fill>
    <fill>
      <patternFill patternType="solid">
        <fgColor indexed="8"/>
        <bgColor indexed="9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mediumGray">
        <fgColor indexed="22"/>
      </patternFill>
    </fill>
    <fill>
      <patternFill patternType="solid">
        <fgColor indexed="10"/>
        <bgColor indexed="9"/>
      </patternFill>
    </fill>
    <fill>
      <patternFill patternType="solid">
        <fgColor indexed="10"/>
        <bgColor indexed="64"/>
      </patternFill>
    </fill>
    <fill>
      <patternFill patternType="solid">
        <fgColor indexed="23"/>
      </patternFill>
    </fill>
    <fill>
      <patternFill patternType="lightUp"/>
    </fill>
    <fill>
      <patternFill patternType="solid">
        <fgColor indexed="13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9"/>
      </left>
      <right style="thin">
        <color indexed="9"/>
      </right>
      <top style="medium">
        <color indexed="18"/>
      </top>
      <bottom style="medium">
        <color indexed="1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87">
    <xf numFmtId="0" fontId="0" fillId="0" borderId="0">
      <alignment vertical="top"/>
    </xf>
    <xf numFmtId="0" fontId="2" fillId="0" borderId="0">
      <alignment vertical="top"/>
    </xf>
    <xf numFmtId="0" fontId="3" fillId="0" borderId="0">
      <alignment vertical="top"/>
    </xf>
    <xf numFmtId="172" fontId="9" fillId="0" borderId="0"/>
    <xf numFmtId="173" fontId="9" fillId="0" borderId="0"/>
    <xf numFmtId="0" fontId="9" fillId="0" borderId="0"/>
    <xf numFmtId="0" fontId="2" fillId="0" borderId="0">
      <alignment vertical="top"/>
    </xf>
    <xf numFmtId="0" fontId="3" fillId="0" borderId="0">
      <alignment vertical="top"/>
    </xf>
    <xf numFmtId="0" fontId="22" fillId="0" borderId="0"/>
    <xf numFmtId="0" fontId="9" fillId="0" borderId="0"/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2" fillId="0" borderId="0"/>
    <xf numFmtId="0" fontId="9" fillId="0" borderId="0"/>
    <xf numFmtId="0" fontId="9" fillId="0" borderId="0"/>
    <xf numFmtId="0" fontId="22" fillId="0" borderId="0"/>
    <xf numFmtId="0" fontId="22" fillId="0" borderId="0"/>
    <xf numFmtId="0" fontId="9" fillId="0" borderId="0"/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9" fillId="0" borderId="0"/>
    <xf numFmtId="0" fontId="9" fillId="0" borderId="0"/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9" fillId="0" borderId="0"/>
    <xf numFmtId="0" fontId="9" fillId="0" borderId="0"/>
    <xf numFmtId="0" fontId="9" fillId="0" borderId="0"/>
    <xf numFmtId="0" fontId="2" fillId="0" borderId="0">
      <alignment vertical="top"/>
    </xf>
    <xf numFmtId="0" fontId="9" fillId="0" borderId="0"/>
    <xf numFmtId="0" fontId="9" fillId="0" borderId="0"/>
    <xf numFmtId="0" fontId="2" fillId="0" borderId="0">
      <alignment vertical="top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9" fillId="0" borderId="0"/>
    <xf numFmtId="0" fontId="9" fillId="0" borderId="0"/>
    <xf numFmtId="0" fontId="9" fillId="0" borderId="0"/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9" fillId="0" borderId="0"/>
    <xf numFmtId="0" fontId="9" fillId="0" borderId="0"/>
    <xf numFmtId="0" fontId="2" fillId="0" borderId="0">
      <alignment vertical="top"/>
    </xf>
    <xf numFmtId="0" fontId="23" fillId="2" borderId="0" applyNumberFormat="0" applyBorder="0" applyAlignment="0" applyProtection="0"/>
    <xf numFmtId="0" fontId="23" fillId="3" borderId="0" applyNumberFormat="0" applyBorder="0" applyAlignment="0" applyProtection="0"/>
    <xf numFmtId="0" fontId="23" fillId="4" borderId="0" applyNumberFormat="0" applyBorder="0" applyAlignment="0" applyProtection="0"/>
    <xf numFmtId="0" fontId="23" fillId="5" borderId="0" applyNumberFormat="0" applyBorder="0" applyAlignment="0" applyProtection="0"/>
    <xf numFmtId="0" fontId="23" fillId="6" borderId="0" applyNumberFormat="0" applyBorder="0" applyAlignment="0" applyProtection="0"/>
    <xf numFmtId="0" fontId="23" fillId="7" borderId="0" applyNumberFormat="0" applyBorder="0" applyAlignment="0" applyProtection="0"/>
    <xf numFmtId="0" fontId="23" fillId="2" borderId="0" applyNumberFormat="0" applyBorder="0" applyAlignment="0" applyProtection="0"/>
    <xf numFmtId="0" fontId="23" fillId="3" borderId="0" applyNumberFormat="0" applyBorder="0" applyAlignment="0" applyProtection="0"/>
    <xf numFmtId="0" fontId="23" fillId="4" borderId="0" applyNumberFormat="0" applyBorder="0" applyAlignment="0" applyProtection="0"/>
    <xf numFmtId="0" fontId="23" fillId="5" borderId="0" applyNumberFormat="0" applyBorder="0" applyAlignment="0" applyProtection="0"/>
    <xf numFmtId="0" fontId="23" fillId="6" borderId="0" applyNumberFormat="0" applyBorder="0" applyAlignment="0" applyProtection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5" borderId="0" applyNumberFormat="0" applyBorder="0" applyAlignment="0" applyProtection="0"/>
    <xf numFmtId="0" fontId="23" fillId="8" borderId="0" applyNumberFormat="0" applyBorder="0" applyAlignment="0" applyProtection="0"/>
    <xf numFmtId="0" fontId="23" fillId="11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5" borderId="0" applyNumberFormat="0" applyBorder="0" applyAlignment="0" applyProtection="0"/>
    <xf numFmtId="0" fontId="23" fillId="8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25" fillId="0" borderId="0" applyNumberFormat="0" applyFill="0" applyBorder="0" applyAlignment="0" applyProtection="0"/>
    <xf numFmtId="0" fontId="9" fillId="0" borderId="0" applyNumberFormat="0" applyFont="0" applyFill="0" applyBorder="0" applyAlignment="0" applyProtection="0"/>
    <xf numFmtId="0" fontId="26" fillId="4" borderId="0" applyNumberFormat="0" applyBorder="0" applyAlignment="0" applyProtection="0"/>
    <xf numFmtId="0" fontId="27" fillId="20" borderId="1" applyNumberFormat="0">
      <alignment horizontal="center" vertical="center"/>
    </xf>
    <xf numFmtId="0" fontId="27" fillId="21" borderId="1" applyNumberFormat="0">
      <alignment horizontal="center" vertical="center"/>
    </xf>
    <xf numFmtId="0" fontId="28" fillId="22" borderId="2" applyNumberFormat="0" applyAlignment="0" applyProtection="0"/>
    <xf numFmtId="0" fontId="28" fillId="22" borderId="2" applyNumberFormat="0" applyAlignment="0" applyProtection="0"/>
    <xf numFmtId="0" fontId="29" fillId="23" borderId="3" applyNumberFormat="0" applyAlignment="0" applyProtection="0"/>
    <xf numFmtId="0" fontId="30" fillId="0" borderId="4" applyNumberFormat="0" applyFill="0" applyAlignment="0" applyProtection="0"/>
    <xf numFmtId="0" fontId="30" fillId="0" borderId="4" applyNumberFormat="0" applyFill="0" applyAlignment="0" applyProtection="0"/>
    <xf numFmtId="0" fontId="31" fillId="0" borderId="0" applyFill="0" applyBorder="0" applyProtection="0">
      <alignment horizontal="center"/>
      <protection locked="0"/>
    </xf>
    <xf numFmtId="174" fontId="32" fillId="0" borderId="0">
      <alignment horizontal="center"/>
    </xf>
    <xf numFmtId="40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43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72" fillId="0" borderId="0" applyFont="0" applyFill="0" applyBorder="0" applyAlignment="0" applyProtection="0"/>
    <xf numFmtId="0" fontId="9" fillId="24" borderId="5" applyNumberFormat="0" applyFont="0" applyAlignment="0" applyProtection="0"/>
    <xf numFmtId="0" fontId="14" fillId="0" borderId="0" applyFill="0" applyBorder="0" applyAlignment="0" applyProtection="0">
      <protection locked="0"/>
    </xf>
    <xf numFmtId="14" fontId="9" fillId="0" borderId="0" applyFont="0" applyFill="0" applyBorder="0" applyAlignment="0" applyProtection="0"/>
    <xf numFmtId="2" fontId="9" fillId="0" borderId="0" applyNumberFormat="0" applyFont="0" applyFill="0" applyBorder="0" applyAlignment="0" applyProtection="0"/>
    <xf numFmtId="41" fontId="9" fillId="0" borderId="0" applyFont="0" applyFill="0" applyBorder="0" applyAlignment="0" applyProtection="0"/>
    <xf numFmtId="43" fontId="33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9" borderId="0" applyNumberFormat="0" applyBorder="0" applyAlignment="0" applyProtection="0"/>
    <xf numFmtId="0" fontId="35" fillId="7" borderId="2" applyNumberFormat="0" applyAlignment="0" applyProtection="0"/>
    <xf numFmtId="0" fontId="35" fillId="7" borderId="2" applyNumberFormat="0" applyAlignment="0" applyProtection="0"/>
    <xf numFmtId="175" fontId="36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37" fillId="25" borderId="6"/>
    <xf numFmtId="2" fontId="38" fillId="26" borderId="7" applyNumberFormat="0" applyFont="0" applyFill="0" applyBorder="0" applyAlignment="0" applyProtection="0">
      <alignment horizontal="center"/>
    </xf>
    <xf numFmtId="0" fontId="37" fillId="26" borderId="7" applyNumberFormat="0" applyFont="0" applyFill="0" applyBorder="0" applyAlignment="0" applyProtection="0">
      <alignment horizontal="center"/>
    </xf>
    <xf numFmtId="0" fontId="39" fillId="0" borderId="0">
      <alignment horizontal="center"/>
    </xf>
    <xf numFmtId="38" fontId="38" fillId="27" borderId="8" applyNumberFormat="0" applyBorder="0" applyAlignment="0" applyProtection="0"/>
    <xf numFmtId="38" fontId="32" fillId="20" borderId="0" applyNumberFormat="0" applyBorder="0" applyAlignment="0" applyProtection="0"/>
    <xf numFmtId="0" fontId="37" fillId="28" borderId="7" applyNumberFormat="0" applyFont="0" applyFill="0" applyBorder="0" applyAlignment="0" applyProtection="0"/>
    <xf numFmtId="14" fontId="10" fillId="29" borderId="9">
      <alignment horizontal="center" vertical="center" wrapText="1"/>
    </xf>
    <xf numFmtId="0" fontId="31" fillId="0" borderId="0" applyFill="0" applyAlignment="0" applyProtection="0">
      <protection locked="0"/>
    </xf>
    <xf numFmtId="176" fontId="10" fillId="0" borderId="0"/>
    <xf numFmtId="42" fontId="10" fillId="0" borderId="0"/>
    <xf numFmtId="42" fontId="40" fillId="0" borderId="0"/>
    <xf numFmtId="41" fontId="10" fillId="0" borderId="0"/>
    <xf numFmtId="164" fontId="10" fillId="0" borderId="0"/>
    <xf numFmtId="0" fontId="41" fillId="0" borderId="0" applyNumberFormat="0" applyFill="0" applyBorder="0" applyAlignment="0" applyProtection="0">
      <alignment vertical="top"/>
      <protection locked="0"/>
    </xf>
    <xf numFmtId="0" fontId="42" fillId="3" borderId="0" applyNumberFormat="0" applyBorder="0" applyAlignment="0" applyProtection="0"/>
    <xf numFmtId="10" fontId="32" fillId="30" borderId="1" applyNumberFormat="0" applyBorder="0" applyAlignment="0" applyProtection="0"/>
    <xf numFmtId="0" fontId="42" fillId="3" borderId="0" applyNumberFormat="0" applyBorder="0" applyAlignment="0" applyProtection="0"/>
    <xf numFmtId="1" fontId="9" fillId="0" borderId="0" applyNumberFormat="0" applyFont="0" applyFill="0" applyBorder="0" applyAlignment="0" applyProtection="0"/>
    <xf numFmtId="0" fontId="43" fillId="0" borderId="0" applyNumberFormat="0" applyFill="0" applyBorder="0" applyAlignment="0" applyProtection="0">
      <alignment vertical="top"/>
      <protection locked="0"/>
    </xf>
    <xf numFmtId="0" fontId="9" fillId="0" borderId="7" applyNumberFormat="0" applyFont="0" applyFill="0" applyBorder="0" applyAlignment="0" applyProtection="0">
      <alignment horizontal="center" vertical="center"/>
    </xf>
    <xf numFmtId="41" fontId="44" fillId="0" borderId="0" applyFont="0" applyFill="0" applyBorder="0" applyAlignment="0" applyProtection="0"/>
    <xf numFmtId="43" fontId="9" fillId="0" borderId="0" applyFont="0" applyFill="0" applyBorder="0" applyAlignment="0" applyProtection="0"/>
    <xf numFmtId="177" fontId="9" fillId="0" borderId="0" applyFont="0" applyFill="0" applyBorder="0" applyAlignment="0" applyProtection="0"/>
    <xf numFmtId="178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179" fontId="45" fillId="0" borderId="0" applyFont="0" applyFill="0" applyBorder="0" applyAlignment="0" applyProtection="0"/>
    <xf numFmtId="180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182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46" fillId="31" borderId="0" applyNumberFormat="0" applyBorder="0" applyAlignment="0" applyProtection="0"/>
    <xf numFmtId="0" fontId="47" fillId="0" borderId="0"/>
    <xf numFmtId="0" fontId="48" fillId="0" borderId="0"/>
    <xf numFmtId="183" fontId="49" fillId="0" borderId="0"/>
    <xf numFmtId="0" fontId="17" fillId="0" borderId="0">
      <alignment vertical="top"/>
    </xf>
    <xf numFmtId="0" fontId="72" fillId="0" borderId="0">
      <alignment vertical="top"/>
    </xf>
    <xf numFmtId="0" fontId="17" fillId="0" borderId="0">
      <alignment vertical="center"/>
    </xf>
    <xf numFmtId="0" fontId="72" fillId="0" borderId="0">
      <alignment vertical="center"/>
    </xf>
    <xf numFmtId="0" fontId="9" fillId="0" borderId="7" applyNumberFormat="0" applyFont="0" applyFill="0" applyBorder="0" applyAlignment="0" applyProtection="0"/>
    <xf numFmtId="0" fontId="9" fillId="0" borderId="0"/>
    <xf numFmtId="0" fontId="50" fillId="0" borderId="0"/>
    <xf numFmtId="0" fontId="9" fillId="24" borderId="5" applyNumberFormat="0" applyFont="0" applyAlignment="0" applyProtection="0"/>
    <xf numFmtId="1" fontId="9" fillId="0" borderId="0" applyNumberFormat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9" fontId="3" fillId="0" borderId="0" applyFont="0" applyFill="0" applyBorder="0" applyAlignment="0" applyProtection="0"/>
    <xf numFmtId="184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72" fillId="0" borderId="0" applyFont="0" applyFill="0" applyBorder="0" applyAlignment="0" applyProtection="0"/>
    <xf numFmtId="10" fontId="9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>
      <alignment horizontal="left"/>
    </xf>
    <xf numFmtId="15" fontId="3" fillId="0" borderId="0" applyFont="0" applyFill="0" applyBorder="0" applyAlignment="0" applyProtection="0"/>
    <xf numFmtId="4" fontId="3" fillId="0" borderId="0" applyFont="0" applyFill="0" applyBorder="0" applyAlignment="0" applyProtection="0"/>
    <xf numFmtId="0" fontId="1" fillId="0" borderId="9">
      <alignment horizontal="center"/>
    </xf>
    <xf numFmtId="3" fontId="3" fillId="0" borderId="0" applyFont="0" applyFill="0" applyBorder="0" applyAlignment="0" applyProtection="0"/>
    <xf numFmtId="0" fontId="3" fillId="32" borderId="0" applyNumberFormat="0" applyFont="0" applyBorder="0" applyAlignment="0" applyProtection="0"/>
    <xf numFmtId="2" fontId="38" fillId="33" borderId="7" applyNumberFormat="0" applyFont="0" applyFill="0" applyBorder="0" applyAlignment="0" applyProtection="0">
      <alignment horizontal="center"/>
    </xf>
    <xf numFmtId="0" fontId="37" fillId="33" borderId="7" applyNumberFormat="0" applyFont="0" applyFill="0" applyBorder="0" applyAlignment="0" applyProtection="0">
      <alignment horizontal="center"/>
    </xf>
    <xf numFmtId="38" fontId="38" fillId="34" borderId="8" applyNumberFormat="0" applyBorder="0" applyAlignment="0" applyProtection="0"/>
    <xf numFmtId="0" fontId="51" fillId="22" borderId="13" applyNumberFormat="0" applyAlignment="0" applyProtection="0"/>
    <xf numFmtId="0" fontId="26" fillId="4" borderId="0" applyNumberFormat="0" applyBorder="0" applyAlignment="0" applyProtection="0"/>
    <xf numFmtId="0" fontId="51" fillId="22" borderId="13" applyNumberFormat="0" applyAlignment="0" applyProtection="0"/>
    <xf numFmtId="0" fontId="9" fillId="0" borderId="0"/>
    <xf numFmtId="37" fontId="33" fillId="0" borderId="0"/>
    <xf numFmtId="0" fontId="2" fillId="0" borderId="0">
      <alignment vertical="top"/>
    </xf>
    <xf numFmtId="0" fontId="27" fillId="35" borderId="1">
      <alignment horizontal="center" vertical="center"/>
    </xf>
    <xf numFmtId="49" fontId="9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Fill="0" applyBorder="0" applyProtection="0">
      <alignment horizontal="left" vertical="top"/>
    </xf>
    <xf numFmtId="0" fontId="54" fillId="0" borderId="0" applyNumberFormat="0" applyFill="0" applyBorder="0" applyAlignment="0" applyProtection="0"/>
    <xf numFmtId="0" fontId="55" fillId="0" borderId="10" applyNumberFormat="0" applyFill="0" applyAlignment="0" applyProtection="0"/>
    <xf numFmtId="0" fontId="56" fillId="0" borderId="11" applyNumberFormat="0" applyFill="0" applyAlignment="0" applyProtection="0"/>
    <xf numFmtId="0" fontId="34" fillId="0" borderId="12" applyNumberFormat="0" applyFill="0" applyAlignment="0" applyProtection="0"/>
    <xf numFmtId="0" fontId="3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10" applyNumberFormat="0" applyFill="0" applyAlignment="0" applyProtection="0"/>
    <xf numFmtId="0" fontId="56" fillId="0" borderId="11" applyNumberFormat="0" applyFill="0" applyAlignment="0" applyProtection="0"/>
    <xf numFmtId="0" fontId="34" fillId="0" borderId="12" applyNumberFormat="0" applyFill="0" applyAlignment="0" applyProtection="0"/>
    <xf numFmtId="0" fontId="54" fillId="0" borderId="0" applyNumberFormat="0" applyFill="0" applyBorder="0" applyAlignment="0" applyProtection="0"/>
    <xf numFmtId="0" fontId="47" fillId="0" borderId="0"/>
    <xf numFmtId="185" fontId="9" fillId="0" borderId="0" applyFont="0" applyFill="0" applyBorder="0" applyAlignment="0" applyProtection="0"/>
    <xf numFmtId="186" fontId="9" fillId="0" borderId="0" applyFont="0" applyFill="0" applyBorder="0" applyAlignment="0" applyProtection="0"/>
    <xf numFmtId="187" fontId="9" fillId="0" borderId="0" applyFont="0" applyFill="0" applyBorder="0" applyAlignment="0" applyProtection="0"/>
    <xf numFmtId="0" fontId="57" fillId="0" borderId="1">
      <alignment horizontal="center"/>
    </xf>
    <xf numFmtId="0" fontId="57" fillId="36" borderId="1">
      <alignment horizontal="center" vertical="center"/>
    </xf>
    <xf numFmtId="0" fontId="29" fillId="23" borderId="3" applyNumberFormat="0" applyAlignment="0" applyProtection="0"/>
    <xf numFmtId="42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2" fillId="37" borderId="7" applyNumberFormat="0" applyFont="0" applyFill="0" applyBorder="0" applyAlignment="0" applyProtection="0">
      <alignment horizontal="center"/>
    </xf>
    <xf numFmtId="0" fontId="19" fillId="37" borderId="7" applyNumberFormat="0" applyFont="0" applyFill="0" applyBorder="0" applyAlignment="0" applyProtection="0">
      <alignment horizontal="center"/>
    </xf>
    <xf numFmtId="38" fontId="9" fillId="38" borderId="8" applyNumberFormat="0" applyBorder="0" applyAlignment="0" applyProtection="0"/>
    <xf numFmtId="188" fontId="58" fillId="0" borderId="0" applyFont="0" applyFill="0" applyBorder="0" applyAlignment="0" applyProtection="0"/>
    <xf numFmtId="189" fontId="58" fillId="0" borderId="0" applyFont="0" applyFill="0" applyBorder="0" applyAlignment="0" applyProtection="0">
      <alignment vertical="top"/>
    </xf>
    <xf numFmtId="190" fontId="58" fillId="0" borderId="0" applyFont="0" applyFill="0" applyBorder="0" applyAlignment="0" applyProtection="0"/>
    <xf numFmtId="0" fontId="47" fillId="0" borderId="0"/>
    <xf numFmtId="0" fontId="47" fillId="0" borderId="0"/>
    <xf numFmtId="0" fontId="9" fillId="0" borderId="0" applyProtection="0"/>
    <xf numFmtId="0" fontId="17" fillId="0" borderId="0">
      <alignment vertical="center"/>
    </xf>
    <xf numFmtId="0" fontId="21" fillId="0" borderId="0">
      <alignment vertical="center"/>
    </xf>
    <xf numFmtId="0" fontId="17" fillId="0" borderId="0">
      <alignment vertical="center"/>
    </xf>
    <xf numFmtId="0" fontId="72" fillId="0" borderId="0">
      <alignment vertical="center"/>
    </xf>
    <xf numFmtId="0" fontId="72" fillId="0" borderId="0">
      <alignment vertical="center"/>
    </xf>
    <xf numFmtId="0" fontId="80" fillId="0" borderId="0"/>
    <xf numFmtId="0" fontId="80" fillId="0" borderId="0"/>
    <xf numFmtId="0" fontId="80" fillId="0" borderId="0"/>
    <xf numFmtId="0" fontId="80" fillId="0" borderId="0"/>
    <xf numFmtId="0" fontId="80" fillId="0" borderId="0"/>
    <xf numFmtId="0" fontId="80" fillId="0" borderId="0"/>
    <xf numFmtId="0" fontId="80" fillId="0" borderId="0"/>
    <xf numFmtId="0" fontId="80" fillId="0" borderId="0"/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0" fontId="59" fillId="0" borderId="0" applyFill="0" applyBorder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2" fontId="9" fillId="0" borderId="0" applyFont="0" applyFill="0" applyBorder="0" applyAlignment="0" applyProtection="0"/>
    <xf numFmtId="0" fontId="47" fillId="0" borderId="0"/>
    <xf numFmtId="0" fontId="47" fillId="0" borderId="0"/>
    <xf numFmtId="0" fontId="60" fillId="0" borderId="0"/>
    <xf numFmtId="0" fontId="2" fillId="0" borderId="0">
      <alignment vertical="top"/>
    </xf>
    <xf numFmtId="0" fontId="61" fillId="0" borderId="0" applyNumberFormat="0" applyFont="0" applyFill="0" applyBorder="0">
      <alignment horizontal="left" vertical="top" wrapText="1"/>
    </xf>
    <xf numFmtId="0" fontId="2" fillId="0" borderId="0">
      <alignment vertical="top"/>
    </xf>
    <xf numFmtId="0" fontId="3" fillId="0" borderId="0">
      <alignment vertical="top"/>
    </xf>
    <xf numFmtId="0" fontId="65" fillId="0" borderId="0">
      <alignment vertical="center"/>
    </xf>
  </cellStyleXfs>
  <cellXfs count="152">
    <xf numFmtId="0" fontId="0" fillId="0" borderId="0" xfId="0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167" fontId="7" fillId="0" borderId="0" xfId="0" applyNumberFormat="1" applyFont="1" applyAlignment="1">
      <alignment vertical="center"/>
    </xf>
    <xf numFmtId="167" fontId="5" fillId="0" borderId="0" xfId="0" applyNumberFormat="1" applyFont="1" applyAlignment="1">
      <alignment vertical="center"/>
    </xf>
    <xf numFmtId="16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167" fontId="10" fillId="39" borderId="14" xfId="0" applyNumberFormat="1" applyFont="1" applyFill="1" applyBorder="1" applyAlignment="1">
      <alignment vertical="center"/>
    </xf>
    <xf numFmtId="167" fontId="9" fillId="0" borderId="0" xfId="0" applyNumberFormat="1" applyFont="1" applyAlignment="1">
      <alignment vertical="center"/>
    </xf>
    <xf numFmtId="0" fontId="12" fillId="0" borderId="0" xfId="0" applyFont="1" applyAlignment="1"/>
    <xf numFmtId="0" fontId="13" fillId="0" borderId="0" xfId="0" applyFont="1" applyAlignment="1"/>
    <xf numFmtId="0" fontId="9" fillId="0" borderId="0" xfId="0" applyFont="1" applyAlignment="1"/>
    <xf numFmtId="0" fontId="16" fillId="0" borderId="0" xfId="0" applyFont="1" applyAlignment="1"/>
    <xf numFmtId="0" fontId="7" fillId="39" borderId="14" xfId="0" applyFont="1" applyFill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10" fillId="39" borderId="1" xfId="0" applyFont="1" applyFill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10" fillId="39" borderId="17" xfId="0" applyFont="1" applyFill="1" applyBorder="1" applyAlignment="1">
      <alignment horizontal="center" vertical="center"/>
    </xf>
    <xf numFmtId="0" fontId="10" fillId="39" borderId="14" xfId="0" applyFont="1" applyFill="1" applyBorder="1" applyAlignment="1">
      <alignment horizontal="center" vertical="center"/>
    </xf>
    <xf numFmtId="169" fontId="11" fillId="0" borderId="9" xfId="0" applyNumberFormat="1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13" fillId="40" borderId="0" xfId="0" applyFont="1" applyFill="1" applyAlignment="1"/>
    <xf numFmtId="0" fontId="14" fillId="0" borderId="0" xfId="0" applyFont="1" applyAlignment="1">
      <alignment horizontal="left"/>
    </xf>
    <xf numFmtId="38" fontId="5" fillId="0" borderId="0" xfId="130" applyNumberFormat="1" applyFont="1" applyFill="1" applyAlignment="1">
      <alignment vertical="center"/>
    </xf>
    <xf numFmtId="170" fontId="9" fillId="0" borderId="0" xfId="130" applyNumberFormat="1" applyFont="1" applyFill="1" applyBorder="1" applyAlignment="1">
      <alignment vertical="center"/>
    </xf>
    <xf numFmtId="38" fontId="5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18" fillId="0" borderId="0" xfId="260" applyFont="1" applyAlignment="1">
      <alignment horizontal="center" vertical="center"/>
    </xf>
    <xf numFmtId="0" fontId="7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top" wrapText="1"/>
    </xf>
    <xf numFmtId="38" fontId="9" fillId="0" borderId="0" xfId="130" applyNumberFormat="1" applyFont="1" applyFill="1" applyBorder="1" applyAlignment="1">
      <alignment vertical="center"/>
    </xf>
    <xf numFmtId="38" fontId="10" fillId="40" borderId="20" xfId="188" applyNumberFormat="1" applyFont="1" applyFill="1" applyBorder="1" applyAlignment="1">
      <alignment horizontal="center" vertical="center"/>
    </xf>
    <xf numFmtId="38" fontId="10" fillId="40" borderId="21" xfId="188" applyNumberFormat="1" applyFont="1" applyFill="1" applyBorder="1" applyAlignment="1">
      <alignment horizontal="center" vertical="center"/>
    </xf>
    <xf numFmtId="0" fontId="10" fillId="40" borderId="22" xfId="188" applyFont="1" applyFill="1" applyBorder="1" applyAlignment="1">
      <alignment horizontal="center" wrapText="1"/>
    </xf>
    <xf numFmtId="0" fontId="10" fillId="40" borderId="1" xfId="188" applyFont="1" applyFill="1" applyBorder="1" applyAlignment="1">
      <alignment horizontal="center" wrapText="1"/>
    </xf>
    <xf numFmtId="38" fontId="64" fillId="40" borderId="22" xfId="188" applyNumberFormat="1" applyFont="1" applyFill="1" applyBorder="1" applyAlignment="1">
      <alignment horizontal="center" vertical="center"/>
    </xf>
    <xf numFmtId="38" fontId="64" fillId="40" borderId="1" xfId="188" applyNumberFormat="1" applyFont="1" applyFill="1" applyBorder="1" applyAlignment="1">
      <alignment horizontal="center" vertical="center"/>
    </xf>
    <xf numFmtId="171" fontId="10" fillId="41" borderId="1" xfId="284" applyNumberFormat="1" applyFont="1" applyFill="1" applyBorder="1" applyAlignment="1">
      <alignment horizontal="center"/>
    </xf>
    <xf numFmtId="38" fontId="10" fillId="0" borderId="1" xfId="188" applyNumberFormat="1" applyFont="1" applyBorder="1" applyAlignment="1">
      <alignment vertical="center"/>
    </xf>
    <xf numFmtId="37" fontId="9" fillId="0" borderId="1" xfId="286" applyNumberFormat="1" applyFont="1" applyBorder="1">
      <alignment vertical="center"/>
    </xf>
    <xf numFmtId="0" fontId="5" fillId="0" borderId="23" xfId="188" applyFont="1" applyBorder="1" applyAlignment="1">
      <alignment horizontal="center" wrapText="1"/>
    </xf>
    <xf numFmtId="0" fontId="74" fillId="43" borderId="24" xfId="0" applyFont="1" applyFill="1" applyBorder="1" applyAlignment="1">
      <alignment vertical="center"/>
    </xf>
    <xf numFmtId="192" fontId="75" fillId="0" borderId="0" xfId="0" applyNumberFormat="1" applyFont="1" applyAlignment="1">
      <alignment horizontal="center" vertical="center"/>
    </xf>
    <xf numFmtId="192" fontId="9" fillId="42" borderId="0" xfId="0" applyNumberFormat="1" applyFont="1" applyFill="1" applyAlignment="1">
      <alignment horizontal="center" vertical="center"/>
    </xf>
    <xf numFmtId="193" fontId="9" fillId="42" borderId="0" xfId="130" applyNumberFormat="1" applyFont="1" applyFill="1" applyAlignment="1">
      <alignment horizontal="center" vertical="center"/>
    </xf>
    <xf numFmtId="191" fontId="9" fillId="0" borderId="0" xfId="199" applyNumberFormat="1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192" fontId="75" fillId="42" borderId="0" xfId="0" applyNumberFormat="1" applyFont="1" applyFill="1" applyAlignment="1">
      <alignment horizontal="center" vertical="center"/>
    </xf>
    <xf numFmtId="38" fontId="9" fillId="0" borderId="0" xfId="130" applyNumberFormat="1" applyFont="1" applyAlignment="1">
      <alignment vertical="center"/>
    </xf>
    <xf numFmtId="0" fontId="5" fillId="42" borderId="0" xfId="0" applyFont="1" applyFill="1" applyAlignment="1">
      <alignment vertical="center"/>
    </xf>
    <xf numFmtId="192" fontId="9" fillId="44" borderId="0" xfId="0" applyNumberFormat="1" applyFont="1" applyFill="1" applyAlignment="1">
      <alignment horizontal="center" vertical="center"/>
    </xf>
    <xf numFmtId="0" fontId="9" fillId="0" borderId="15" xfId="0" quotePrefix="1" applyFont="1" applyBorder="1" applyAlignment="1">
      <alignment horizontal="center" vertical="center"/>
    </xf>
    <xf numFmtId="0" fontId="9" fillId="0" borderId="1" xfId="0" applyFont="1" applyBorder="1" applyAlignment="1"/>
    <xf numFmtId="191" fontId="7" fillId="0" borderId="0" xfId="199" applyNumberFormat="1" applyFont="1" applyFill="1" applyAlignment="1">
      <alignment vertical="center"/>
    </xf>
    <xf numFmtId="0" fontId="67" fillId="0" borderId="0" xfId="0" applyFont="1" applyAlignment="1">
      <alignment vertical="center"/>
    </xf>
    <xf numFmtId="0" fontId="67" fillId="0" borderId="0" xfId="0" applyFont="1" applyAlignment="1"/>
    <xf numFmtId="0" fontId="76" fillId="0" borderId="0" xfId="0" applyFont="1" applyAlignment="1">
      <alignment vertical="center"/>
    </xf>
    <xf numFmtId="0" fontId="77" fillId="0" borderId="0" xfId="0" applyFont="1" applyAlignment="1">
      <alignment vertical="center"/>
    </xf>
    <xf numFmtId="17" fontId="77" fillId="0" borderId="0" xfId="0" applyNumberFormat="1" applyFont="1" applyAlignment="1">
      <alignment vertical="center"/>
    </xf>
    <xf numFmtId="0" fontId="67" fillId="0" borderId="19" xfId="0" applyFont="1" applyBorder="1" applyAlignment="1">
      <alignment vertical="center"/>
    </xf>
    <xf numFmtId="165" fontId="9" fillId="0" borderId="0" xfId="0" applyNumberFormat="1" applyFont="1" applyAlignment="1">
      <alignment vertical="center"/>
    </xf>
    <xf numFmtId="0" fontId="10" fillId="0" borderId="0" xfId="0" applyFont="1" applyAlignment="1">
      <alignment horizontal="center" vertical="center"/>
    </xf>
    <xf numFmtId="167" fontId="10" fillId="0" borderId="0" xfId="0" applyNumberFormat="1" applyFont="1" applyAlignment="1">
      <alignment vertical="center"/>
    </xf>
    <xf numFmtId="194" fontId="10" fillId="0" borderId="0" xfId="0" applyNumberFormat="1" applyFont="1" applyAlignment="1">
      <alignment vertical="center"/>
    </xf>
    <xf numFmtId="40" fontId="5" fillId="0" borderId="0" xfId="130" applyFont="1" applyFill="1" applyBorder="1" applyAlignment="1">
      <alignment vertical="center"/>
    </xf>
    <xf numFmtId="0" fontId="6" fillId="42" borderId="0" xfId="0" applyFont="1" applyFill="1" applyAlignment="1">
      <alignment vertical="center"/>
    </xf>
    <xf numFmtId="0" fontId="5" fillId="42" borderId="0" xfId="0" applyFont="1" applyFill="1" applyAlignment="1">
      <alignment horizontal="center" vertical="center"/>
    </xf>
    <xf numFmtId="0" fontId="7" fillId="42" borderId="0" xfId="0" applyFont="1" applyFill="1" applyAlignment="1">
      <alignment horizontal="center" vertical="center"/>
    </xf>
    <xf numFmtId="167" fontId="7" fillId="42" borderId="0" xfId="0" applyNumberFormat="1" applyFont="1" applyFill="1" applyAlignment="1">
      <alignment vertical="center"/>
    </xf>
    <xf numFmtId="0" fontId="5" fillId="0" borderId="1" xfId="285" applyFont="1" applyBorder="1" applyAlignment="1">
      <alignment wrapText="1"/>
    </xf>
    <xf numFmtId="0" fontId="5" fillId="0" borderId="1" xfId="188" applyFont="1" applyBorder="1" applyAlignment="1">
      <alignment wrapText="1"/>
    </xf>
    <xf numFmtId="0" fontId="71" fillId="0" borderId="0" xfId="0" applyFont="1" applyAlignment="1">
      <alignment vertical="center"/>
    </xf>
    <xf numFmtId="38" fontId="10" fillId="0" borderId="0" xfId="130" applyNumberFormat="1" applyFont="1" applyFill="1" applyBorder="1" applyAlignment="1">
      <alignment vertical="center"/>
    </xf>
    <xf numFmtId="38" fontId="5" fillId="0" borderId="0" xfId="130" applyNumberFormat="1" applyFont="1" applyFill="1" applyBorder="1" applyAlignment="1">
      <alignment vertical="center"/>
    </xf>
    <xf numFmtId="167" fontId="79" fillId="0" borderId="0" xfId="0" applyNumberFormat="1" applyFont="1" applyAlignment="1">
      <alignment vertical="center" wrapText="1"/>
    </xf>
    <xf numFmtId="0" fontId="78" fillId="46" borderId="0" xfId="0" applyFont="1" applyFill="1" applyAlignment="1"/>
    <xf numFmtId="167" fontId="81" fillId="46" borderId="0" xfId="0" applyNumberFormat="1" applyFont="1" applyFill="1" applyAlignment="1">
      <alignment vertical="center"/>
    </xf>
    <xf numFmtId="167" fontId="9" fillId="42" borderId="0" xfId="0" applyNumberFormat="1" applyFont="1" applyFill="1" applyAlignment="1">
      <alignment vertical="center"/>
    </xf>
    <xf numFmtId="37" fontId="9" fillId="0" borderId="1" xfId="286" quotePrefix="1" applyNumberFormat="1" applyFont="1" applyBorder="1">
      <alignment vertical="center"/>
    </xf>
    <xf numFmtId="0" fontId="82" fillId="0" borderId="0" xfId="0" applyFont="1" applyAlignment="1"/>
    <xf numFmtId="0" fontId="83" fillId="0" borderId="0" xfId="0" applyFont="1" applyAlignment="1"/>
    <xf numFmtId="38" fontId="9" fillId="0" borderId="1" xfId="131" quotePrefix="1" applyFont="1" applyBorder="1" applyAlignment="1"/>
    <xf numFmtId="167" fontId="9" fillId="47" borderId="0" xfId="0" applyNumberFormat="1" applyFont="1" applyFill="1" applyAlignment="1">
      <alignment vertical="center"/>
    </xf>
    <xf numFmtId="0" fontId="10" fillId="48" borderId="17" xfId="0" applyFont="1" applyFill="1" applyBorder="1" applyAlignment="1">
      <alignment horizontal="center" vertical="center"/>
    </xf>
    <xf numFmtId="0" fontId="7" fillId="48" borderId="14" xfId="0" applyFont="1" applyFill="1" applyBorder="1" applyAlignment="1">
      <alignment horizontal="center" vertical="center"/>
    </xf>
    <xf numFmtId="0" fontId="10" fillId="48" borderId="1" xfId="0" applyFont="1" applyFill="1" applyBorder="1" applyAlignment="1">
      <alignment horizontal="center" vertical="center"/>
    </xf>
    <xf numFmtId="0" fontId="10" fillId="48" borderId="14" xfId="0" applyFont="1" applyFill="1" applyBorder="1" applyAlignment="1">
      <alignment horizontal="center" vertical="center"/>
    </xf>
    <xf numFmtId="167" fontId="10" fillId="48" borderId="14" xfId="0" applyNumberFormat="1" applyFont="1" applyFill="1" applyBorder="1" applyAlignment="1">
      <alignment vertical="center"/>
    </xf>
    <xf numFmtId="0" fontId="7" fillId="48" borderId="0" xfId="0" applyFont="1" applyFill="1" applyAlignment="1">
      <alignment vertical="center"/>
    </xf>
    <xf numFmtId="195" fontId="9" fillId="44" borderId="0" xfId="130" applyNumberFormat="1" applyFont="1" applyFill="1" applyAlignment="1">
      <alignment horizontal="center" vertical="center"/>
    </xf>
    <xf numFmtId="196" fontId="9" fillId="0" borderId="1" xfId="286" quotePrefix="1" applyNumberFormat="1" applyFont="1" applyBorder="1">
      <alignment vertical="center"/>
    </xf>
    <xf numFmtId="196" fontId="9" fillId="0" borderId="1" xfId="286" applyNumberFormat="1" applyFont="1" applyBorder="1">
      <alignment vertical="center"/>
    </xf>
    <xf numFmtId="0" fontId="77" fillId="45" borderId="0" xfId="0" applyFont="1" applyFill="1" applyAlignment="1">
      <alignment vertical="center"/>
    </xf>
    <xf numFmtId="0" fontId="85" fillId="45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0" borderId="18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/>
    </xf>
    <xf numFmtId="0" fontId="14" fillId="0" borderId="28" xfId="0" applyFont="1" applyBorder="1" applyAlignment="1">
      <alignment horizontal="center"/>
    </xf>
    <xf numFmtId="0" fontId="14" fillId="0" borderId="29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quotePrefix="1" applyFont="1" applyBorder="1" applyAlignment="1">
      <alignment horizontal="center"/>
    </xf>
    <xf numFmtId="0" fontId="12" fillId="0" borderId="1" xfId="0" applyFont="1" applyBorder="1" applyAlignment="1"/>
    <xf numFmtId="0" fontId="7" fillId="0" borderId="0" xfId="0" applyFont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169" fontId="11" fillId="0" borderId="0" xfId="0" applyNumberFormat="1" applyFont="1" applyAlignment="1">
      <alignment horizontal="center" vertical="center"/>
    </xf>
    <xf numFmtId="38" fontId="5" fillId="0" borderId="0" xfId="0" applyNumberFormat="1" applyFont="1" applyAlignment="1">
      <alignment horizontal="center" vertical="center"/>
    </xf>
    <xf numFmtId="38" fontId="7" fillId="0" borderId="0" xfId="0" applyNumberFormat="1" applyFont="1" applyAlignment="1">
      <alignment horizontal="center" vertical="center"/>
    </xf>
    <xf numFmtId="38" fontId="9" fillId="0" borderId="0" xfId="0" applyNumberFormat="1" applyFont="1" applyAlignment="1">
      <alignment vertical="center"/>
    </xf>
    <xf numFmtId="168" fontId="5" fillId="0" borderId="0" xfId="0" applyNumberFormat="1" applyFont="1" applyAlignment="1">
      <alignment vertical="center"/>
    </xf>
    <xf numFmtId="38" fontId="32" fillId="0" borderId="0" xfId="130" applyNumberFormat="1" applyFont="1" applyFill="1" applyBorder="1" applyAlignment="1">
      <alignment vertical="center"/>
    </xf>
    <xf numFmtId="0" fontId="32" fillId="0" borderId="0" xfId="0" applyFont="1" applyAlignment="1">
      <alignment vertical="center"/>
    </xf>
    <xf numFmtId="167" fontId="5" fillId="0" borderId="0" xfId="130" applyNumberFormat="1" applyFont="1" applyFill="1" applyBorder="1" applyAlignment="1">
      <alignment vertical="center"/>
    </xf>
    <xf numFmtId="38" fontId="32" fillId="0" borderId="0" xfId="0" applyNumberFormat="1" applyFont="1" applyAlignment="1">
      <alignment vertical="center"/>
    </xf>
    <xf numFmtId="194" fontId="5" fillId="0" borderId="0" xfId="130" applyNumberFormat="1" applyFont="1" applyFill="1" applyBorder="1" applyAlignment="1">
      <alignment vertical="center"/>
    </xf>
    <xf numFmtId="1" fontId="5" fillId="0" borderId="0" xfId="0" applyNumberFormat="1" applyFont="1" applyAlignment="1">
      <alignment vertical="center"/>
    </xf>
    <xf numFmtId="38" fontId="10" fillId="0" borderId="0" xfId="0" applyNumberFormat="1" applyFont="1" applyAlignment="1">
      <alignment vertical="center"/>
    </xf>
    <xf numFmtId="0" fontId="18" fillId="50" borderId="0" xfId="260" applyFont="1" applyFill="1" applyAlignment="1">
      <alignment horizontal="center" vertical="center"/>
    </xf>
    <xf numFmtId="167" fontId="9" fillId="50" borderId="0" xfId="0" applyNumberFormat="1" applyFont="1" applyFill="1" applyAlignment="1">
      <alignment vertical="center"/>
    </xf>
    <xf numFmtId="0" fontId="9" fillId="50" borderId="15" xfId="0" applyFont="1" applyFill="1" applyBorder="1" applyAlignment="1">
      <alignment horizontal="center" vertical="center"/>
    </xf>
    <xf numFmtId="0" fontId="9" fillId="50" borderId="0" xfId="0" applyFont="1" applyFill="1" applyAlignment="1">
      <alignment horizontal="center" vertical="center"/>
    </xf>
    <xf numFmtId="197" fontId="9" fillId="0" borderId="0" xfId="0" applyNumberFormat="1" applyFont="1" applyAlignment="1">
      <alignment vertical="center"/>
    </xf>
    <xf numFmtId="0" fontId="19" fillId="0" borderId="0" xfId="0" applyFont="1" applyAlignment="1">
      <alignment horizontal="left" vertical="top" wrapText="1"/>
    </xf>
    <xf numFmtId="0" fontId="15" fillId="0" borderId="30" xfId="0" quotePrefix="1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1" xfId="0" applyBorder="1" applyAlignment="1">
      <alignment horizontal="center"/>
    </xf>
    <xf numFmtId="0" fontId="12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49" borderId="18" xfId="0" applyFont="1" applyFill="1" applyBorder="1" applyAlignment="1">
      <alignment horizontal="center" vertical="center"/>
    </xf>
    <xf numFmtId="0" fontId="6" fillId="49" borderId="15" xfId="0" applyFont="1" applyFill="1" applyBorder="1" applyAlignment="1">
      <alignment vertical="center"/>
    </xf>
    <xf numFmtId="0" fontId="6" fillId="49" borderId="25" xfId="0" applyFont="1" applyFill="1" applyBorder="1" applyAlignment="1">
      <alignment vertical="center"/>
    </xf>
    <xf numFmtId="38" fontId="10" fillId="40" borderId="21" xfId="188" applyNumberFormat="1" applyFont="1" applyFill="1" applyBorder="1" applyAlignment="1">
      <alignment horizontal="center" vertical="center"/>
    </xf>
    <xf numFmtId="38" fontId="10" fillId="40" borderId="1" xfId="188" applyNumberFormat="1" applyFont="1" applyFill="1" applyBorder="1" applyAlignment="1">
      <alignment horizontal="center" vertical="center"/>
    </xf>
    <xf numFmtId="0" fontId="6" fillId="40" borderId="26" xfId="188" applyFont="1" applyFill="1" applyBorder="1" applyAlignment="1">
      <alignment horizontal="center" vertical="center"/>
    </xf>
    <xf numFmtId="0" fontId="6" fillId="40" borderId="23" xfId="188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38" fontId="7" fillId="0" borderId="0" xfId="130" applyNumberFormat="1" applyFont="1" applyFill="1" applyBorder="1" applyAlignment="1">
      <alignment horizontal="center" vertical="center" wrapText="1"/>
    </xf>
    <xf numFmtId="38" fontId="7" fillId="0" borderId="0" xfId="130" applyNumberFormat="1" applyFont="1" applyFill="1" applyBorder="1" applyAlignment="1">
      <alignment horizontal="center" vertical="center"/>
    </xf>
  </cellXfs>
  <cellStyles count="287">
    <cellStyle name="_x000a_mouse.drv=lm" xfId="1" xr:uid="{00000000-0005-0000-0000-000000000000}"/>
    <cellStyle name="_x000a_mouse.drv=lm 2" xfId="2" xr:uid="{00000000-0005-0000-0000-000001000000}"/>
    <cellStyle name="#,##0,0. &quot;TDM&quot;" xfId="3" xr:uid="{00000000-0005-0000-0000-000002000000}"/>
    <cellStyle name="#.##0;(#.##0)" xfId="4" xr:uid="{00000000-0005-0000-0000-000003000000}"/>
    <cellStyle name="%" xfId="5" xr:uid="{00000000-0005-0000-0000-000004000000}"/>
    <cellStyle name="?餡_x000c_k?_x000d_^黇_x0001_??_x0007__x0001__x0001_" xfId="6" xr:uid="{00000000-0005-0000-0000-000005000000}"/>
    <cellStyle name="?餡_x000c_k?_x000d_^黇_x0001_??_x0007__x0001__x0001_ 2" xfId="7" xr:uid="{00000000-0005-0000-0000-000006000000}"/>
    <cellStyle name="_0805020ARM AP StaffingTrack Report Zhenjiang" xfId="8" xr:uid="{00000000-0005-0000-0000-000007000000}"/>
    <cellStyle name="_AOP FY09-Headcount-ZJ john corrected - june 28 08" xfId="9" xr:uid="{00000000-0005-0000-0000-000008000000}"/>
    <cellStyle name="_AOP08 Capex" xfId="10" xr:uid="{00000000-0005-0000-0000-000009000000}"/>
    <cellStyle name="_AOP08 Capex_2011 AOP-Korea Apr 2011" xfId="11" xr:uid="{00000000-0005-0000-0000-00000A000000}"/>
    <cellStyle name="_AOP08 Capex_2011 AOP-Korea Apr 2011_02" xfId="12" xr:uid="{00000000-0005-0000-0000-00000B000000}"/>
    <cellStyle name="_AOP08 Capex_2012 AOP-Korea v1 0-Blank" xfId="13" xr:uid="{00000000-0005-0000-0000-00000C000000}"/>
    <cellStyle name="_AOP08 Capex_2012 AOP-Korea v1 6-1_02" xfId="14" xr:uid="{00000000-0005-0000-0000-00000D000000}"/>
    <cellStyle name="_AOP08 Capex_2012 AOP-Korea v2 _ SD  Q" xfId="15" xr:uid="{00000000-0005-0000-0000-00000E000000}"/>
    <cellStyle name="_ARM AP StaffingTrack Report Zhenjiang (080523)" xfId="16" xr:uid="{00000000-0005-0000-0000-00000F000000}"/>
    <cellStyle name="_ARM PUNE BUSINESS-et" xfId="17" xr:uid="{00000000-0005-0000-0000-000010000000}"/>
    <cellStyle name="_BOM NEM - ZJ" xfId="18" xr:uid="{00000000-0005-0000-0000-000011000000}"/>
    <cellStyle name="_Book3" xfId="19" xr:uid="{00000000-0005-0000-0000-000012000000}"/>
    <cellStyle name="_Book4" xfId="20" xr:uid="{00000000-0005-0000-0000-000013000000}"/>
    <cellStyle name="_BU COA Template 01_22_08 v1-Zhenjiang" xfId="21" xr:uid="{00000000-0005-0000-0000-000014000000}"/>
    <cellStyle name="_BU COA Template 01_22_08 -ZhenJiang" xfId="22" xr:uid="{00000000-0005-0000-0000-000015000000}"/>
    <cellStyle name="_BU COA Template 01_22_08 -ZhenJiang_2011 AOP-Korea Apr 2011" xfId="23" xr:uid="{00000000-0005-0000-0000-000016000000}"/>
    <cellStyle name="_BU COA Template 01_22_08 -ZhenJiang_2011 AOP-Korea Apr 2011_02" xfId="24" xr:uid="{00000000-0005-0000-0000-000017000000}"/>
    <cellStyle name="_BU COA Template 01_22_08 -ZhenJiang_2012 AOP-Korea v1 0-Blank" xfId="25" xr:uid="{00000000-0005-0000-0000-000018000000}"/>
    <cellStyle name="_BU COA Template 01_22_08 -ZhenJiang_2012 AOP-Korea v1 6-1_02" xfId="26" xr:uid="{00000000-0005-0000-0000-000019000000}"/>
    <cellStyle name="_BU COA Template 01_22_08 -ZhenJiang_2012 AOP-Korea v2 _ SD  Q" xfId="27" xr:uid="{00000000-0005-0000-0000-00001A000000}"/>
    <cellStyle name="_BU COA Template 02_14_08 v1-Zhenjiang" xfId="28" xr:uid="{00000000-0005-0000-0000-00001B000000}"/>
    <cellStyle name="_BU COA Template 02_14_08 v1-Zhenjiang1" xfId="29" xr:uid="{00000000-0005-0000-0000-00001C000000}"/>
    <cellStyle name="_Causal for COA for DEC" xfId="30" xr:uid="{00000000-0005-0000-0000-00001D000000}"/>
    <cellStyle name="_Causal for COA for DEC_2011 AOP-Korea Apr 2011" xfId="31" xr:uid="{00000000-0005-0000-0000-00001E000000}"/>
    <cellStyle name="_Causal for COA for DEC_2011 AOP-Korea Apr 2011_02" xfId="32" xr:uid="{00000000-0005-0000-0000-00001F000000}"/>
    <cellStyle name="_Causal for COA for DEC_2012 AOP-Korea v1 0-Blank" xfId="33" xr:uid="{00000000-0005-0000-0000-000020000000}"/>
    <cellStyle name="_Causal for COA for DEC_2012 AOP-Korea v1 6-1_02" xfId="34" xr:uid="{00000000-0005-0000-0000-000021000000}"/>
    <cellStyle name="_Causal for COA for DEC_2012 AOP-Korea v2 _ SD  Q" xfId="35" xr:uid="{00000000-0005-0000-0000-000022000000}"/>
    <cellStyle name="_Causal for COA for DEC-updated by Angela" xfId="36" xr:uid="{00000000-0005-0000-0000-000023000000}"/>
    <cellStyle name="_Causal for COA for DEC-updated by Angela_2011 AOP-Korea Apr 2011" xfId="37" xr:uid="{00000000-0005-0000-0000-000024000000}"/>
    <cellStyle name="_Causal for COA for DEC-updated by Angela_2011 AOP-Korea Apr 2011_02" xfId="38" xr:uid="{00000000-0005-0000-0000-000025000000}"/>
    <cellStyle name="_Causal for COA for DEC-updated by Angela_2012 AOP-Korea v1 0-Blank" xfId="39" xr:uid="{00000000-0005-0000-0000-000026000000}"/>
    <cellStyle name="_Causal for COA for DEC-updated by Angela_2012 AOP-Korea v1 6-1_02" xfId="40" xr:uid="{00000000-0005-0000-0000-000027000000}"/>
    <cellStyle name="_Causal for COA for DEC-updated by Angela_2012 AOP-Korea v2 _ SD  Q" xfId="41" xr:uid="{00000000-0005-0000-0000-000028000000}"/>
    <cellStyle name="_CBOM Template" xfId="42" xr:uid="{00000000-0005-0000-0000-000029000000}"/>
    <cellStyle name="_CC FY08 AOP department expense _IT Rev2 May 20" xfId="43" xr:uid="{00000000-0005-0000-0000-00002A000000}"/>
    <cellStyle name="_CC FY08 AOP department expense _IT Rev2 May 20_BU COA Template 01_22_08 v1-Zhenjiang" xfId="44" xr:uid="{00000000-0005-0000-0000-00002B000000}"/>
    <cellStyle name="_CC FY08 AOP department expense _IT Rev2 May 20_BU COA Template 02_14_08 v1-Zhenjiang" xfId="45" xr:uid="{00000000-0005-0000-0000-00002C000000}"/>
    <cellStyle name="_CH Calculation r2 (2)" xfId="46" xr:uid="{00000000-0005-0000-0000-00002D000000}"/>
    <cellStyle name="_DETAIL STDS 2010" xfId="47" xr:uid="{00000000-0005-0000-0000-00002E000000}"/>
    <cellStyle name="_EBITDA Analysis" xfId="48" xr:uid="{00000000-0005-0000-0000-00002F000000}"/>
    <cellStyle name="_Economic Data" xfId="49" xr:uid="{00000000-0005-0000-0000-000030000000}"/>
    <cellStyle name="_hcplant-LVS 2009" xfId="50" xr:uid="{00000000-0005-0000-0000-000031000000}"/>
    <cellStyle name="_Headcount-indirect detail" xfId="51" xr:uid="{00000000-0005-0000-0000-000032000000}"/>
    <cellStyle name="_HYUNDAI GM9 - ESSON  ZJ - rev 1 0 - for diffusion ZJ" xfId="52" xr:uid="{00000000-0005-0000-0000-000033000000}"/>
    <cellStyle name="_Inventory reduction for 1-1-9" xfId="53" xr:uid="{00000000-0005-0000-0000-000034000000}"/>
    <cellStyle name="_Motor FOR 0409" xfId="54" xr:uid="{00000000-0005-0000-0000-000035000000}"/>
    <cellStyle name="_Motor overview - Rev2.1 - 100309" xfId="55" xr:uid="{00000000-0005-0000-0000-000036000000}"/>
    <cellStyle name="_PREACT VS FCST  for NOV  for Zhenjinag plant" xfId="56" xr:uid="{00000000-0005-0000-0000-000037000000}"/>
    <cellStyle name="_PREACT VS FCST  for NOV  for Zhenjinag plant_2011 AOP-Korea Apr 2011" xfId="57" xr:uid="{00000000-0005-0000-0000-000038000000}"/>
    <cellStyle name="_PREACT VS FCST  for NOV  for Zhenjinag plant_2011 AOP-Korea Apr 2011_02" xfId="58" xr:uid="{00000000-0005-0000-0000-000039000000}"/>
    <cellStyle name="_PREACT VS FCST  for NOV  for Zhenjinag plant_2012 AOP-Korea v1 0-Blank" xfId="59" xr:uid="{00000000-0005-0000-0000-00003A000000}"/>
    <cellStyle name="_PREACT VS FCST  for NOV  for Zhenjinag plant_2012 AOP-Korea v1 6-1_02" xfId="60" xr:uid="{00000000-0005-0000-0000-00003B000000}"/>
    <cellStyle name="_PREACT VS FCST  for NOV  for Zhenjinag plant_2012 AOP-Korea v2 _ SD  Q" xfId="61" xr:uid="{00000000-0005-0000-0000-00003C000000}"/>
    <cellStyle name="_Pricing" xfId="62" xr:uid="{00000000-0005-0000-0000-00003D000000}"/>
    <cellStyle name="_Pricing FY10" xfId="63" xr:uid="{00000000-0005-0000-0000-00003E000000}"/>
    <cellStyle name="_Projects" xfId="64" xr:uid="{00000000-0005-0000-0000-00003F000000}"/>
    <cellStyle name="_Q1 Causal-Template- ZJ  Nov.07 Q1 vs. AOP" xfId="65" xr:uid="{00000000-0005-0000-0000-000040000000}"/>
    <cellStyle name="_Q1 Causal-Template- ZJ  Nov.07 Q1 vs. AOP_2011 AOP-Korea Apr 2011" xfId="66" xr:uid="{00000000-0005-0000-0000-000041000000}"/>
    <cellStyle name="_Q1 Causal-Template- ZJ  Nov.07 Q1 vs. AOP_2011 AOP-Korea Apr 2011_02" xfId="67" xr:uid="{00000000-0005-0000-0000-000042000000}"/>
    <cellStyle name="_Q1 Causal-Template- ZJ  Nov.07 Q1 vs. AOP_2012 AOP-Korea v1 0-Blank" xfId="68" xr:uid="{00000000-0005-0000-0000-000043000000}"/>
    <cellStyle name="_Q1 Causal-Template- ZJ  Nov.07 Q1 vs. AOP_2012 AOP-Korea v1 6-1_02" xfId="69" xr:uid="{00000000-0005-0000-0000-000044000000}"/>
    <cellStyle name="_Q1 Causal-Template- ZJ  Nov.07 Q1 vs. AOP_2012 AOP-Korea v2 _ SD  Q" xfId="70" xr:uid="{00000000-0005-0000-0000-000045000000}"/>
    <cellStyle name="_RFQ - SVW - Beijing Basis latch - v12" xfId="71" xr:uid="{00000000-0005-0000-0000-000046000000}"/>
    <cellStyle name="_RO-20080108" xfId="72" xr:uid="{00000000-0005-0000-0000-000047000000}"/>
    <cellStyle name="_RO-20080108_2011 AOP-Korea Apr 2011" xfId="73" xr:uid="{00000000-0005-0000-0000-000048000000}"/>
    <cellStyle name="_RO-20080108_2011 AOP-Korea Apr 2011_02" xfId="74" xr:uid="{00000000-0005-0000-0000-000049000000}"/>
    <cellStyle name="_RO-20080108_2012 AOP-Korea v1 0-Blank" xfId="75" xr:uid="{00000000-0005-0000-0000-00004A000000}"/>
    <cellStyle name="_RO-20080108_2012 AOP-Korea v1 6-1_02" xfId="76" xr:uid="{00000000-0005-0000-0000-00004B000000}"/>
    <cellStyle name="_RO-20080108_2012 AOP-Korea v2 _ SD  Q" xfId="77" xr:uid="{00000000-0005-0000-0000-00004C000000}"/>
    <cellStyle name="_Roofs VW" xfId="78" xr:uid="{00000000-0005-0000-0000-00004D000000}"/>
    <cellStyle name="_Run times" xfId="79" xr:uid="{00000000-0005-0000-0000-00004E000000}"/>
    <cellStyle name="_Sales Volume &amp; Mix FY10" xfId="80" xr:uid="{00000000-0005-0000-0000-00004F000000}"/>
    <cellStyle name="_Sheet1" xfId="81" xr:uid="{00000000-0005-0000-0000-000050000000}"/>
    <cellStyle name="20 % - Accent1" xfId="82" xr:uid="{00000000-0005-0000-0000-000051000000}"/>
    <cellStyle name="20 % - Accent2" xfId="83" xr:uid="{00000000-0005-0000-0000-000052000000}"/>
    <cellStyle name="20 % - Accent3" xfId="84" xr:uid="{00000000-0005-0000-0000-000053000000}"/>
    <cellStyle name="20 % - Accent4" xfId="85" xr:uid="{00000000-0005-0000-0000-000054000000}"/>
    <cellStyle name="20 % - Accent5" xfId="86" xr:uid="{00000000-0005-0000-0000-000055000000}"/>
    <cellStyle name="20 % - Accent6" xfId="87" xr:uid="{00000000-0005-0000-0000-000056000000}"/>
    <cellStyle name="20% - Énfasis1" xfId="88" xr:uid="{00000000-0005-0000-0000-000057000000}"/>
    <cellStyle name="20% - Énfasis2" xfId="89" xr:uid="{00000000-0005-0000-0000-000058000000}"/>
    <cellStyle name="20% - Énfasis3" xfId="90" xr:uid="{00000000-0005-0000-0000-000059000000}"/>
    <cellStyle name="20% - Énfasis4" xfId="91" xr:uid="{00000000-0005-0000-0000-00005A000000}"/>
    <cellStyle name="20% - Énfasis5" xfId="92" xr:uid="{00000000-0005-0000-0000-00005B000000}"/>
    <cellStyle name="20% - Énfasis6" xfId="93" xr:uid="{00000000-0005-0000-0000-00005C000000}"/>
    <cellStyle name="40 % - Accent1" xfId="94" xr:uid="{00000000-0005-0000-0000-00005D000000}"/>
    <cellStyle name="40 % - Accent2" xfId="95" xr:uid="{00000000-0005-0000-0000-00005E000000}"/>
    <cellStyle name="40 % - Accent3" xfId="96" xr:uid="{00000000-0005-0000-0000-00005F000000}"/>
    <cellStyle name="40 % - Accent4" xfId="97" xr:uid="{00000000-0005-0000-0000-000060000000}"/>
    <cellStyle name="40 % - Accent5" xfId="98" xr:uid="{00000000-0005-0000-0000-000061000000}"/>
    <cellStyle name="40 % - Accent6" xfId="99" xr:uid="{00000000-0005-0000-0000-000062000000}"/>
    <cellStyle name="40% - Énfasis1" xfId="100" xr:uid="{00000000-0005-0000-0000-000063000000}"/>
    <cellStyle name="40% - Énfasis2" xfId="101" xr:uid="{00000000-0005-0000-0000-000064000000}"/>
    <cellStyle name="40% - Énfasis3" xfId="102" xr:uid="{00000000-0005-0000-0000-000065000000}"/>
    <cellStyle name="40% - Énfasis4" xfId="103" xr:uid="{00000000-0005-0000-0000-000066000000}"/>
    <cellStyle name="40% - Énfasis5" xfId="104" xr:uid="{00000000-0005-0000-0000-000067000000}"/>
    <cellStyle name="40% - Énfasis6" xfId="105" xr:uid="{00000000-0005-0000-0000-000068000000}"/>
    <cellStyle name="60 % - Accent1" xfId="106" xr:uid="{00000000-0005-0000-0000-000069000000}"/>
    <cellStyle name="60 % - Accent2" xfId="107" xr:uid="{00000000-0005-0000-0000-00006A000000}"/>
    <cellStyle name="60 % - Accent3" xfId="108" xr:uid="{00000000-0005-0000-0000-00006B000000}"/>
    <cellStyle name="60 % - Accent4" xfId="109" xr:uid="{00000000-0005-0000-0000-00006C000000}"/>
    <cellStyle name="60 % - Accent5" xfId="110" xr:uid="{00000000-0005-0000-0000-00006D000000}"/>
    <cellStyle name="60 % - Accent6" xfId="111" xr:uid="{00000000-0005-0000-0000-00006E000000}"/>
    <cellStyle name="60% - Énfasis1" xfId="112" xr:uid="{00000000-0005-0000-0000-00006F000000}"/>
    <cellStyle name="60% - Énfasis2" xfId="113" xr:uid="{00000000-0005-0000-0000-000070000000}"/>
    <cellStyle name="60% - Énfasis3" xfId="114" xr:uid="{00000000-0005-0000-0000-000071000000}"/>
    <cellStyle name="60% - Énfasis4" xfId="115" xr:uid="{00000000-0005-0000-0000-000072000000}"/>
    <cellStyle name="60% - Énfasis5" xfId="116" xr:uid="{00000000-0005-0000-0000-000073000000}"/>
    <cellStyle name="60% - Énfasis6" xfId="117" xr:uid="{00000000-0005-0000-0000-000074000000}"/>
    <cellStyle name="Avertissement" xfId="118" xr:uid="{00000000-0005-0000-0000-000075000000}"/>
    <cellStyle name="BorderLessCellStyle" xfId="119" xr:uid="{00000000-0005-0000-0000-000076000000}"/>
    <cellStyle name="Buena" xfId="120" xr:uid="{00000000-0005-0000-0000-000077000000}"/>
    <cellStyle name="Cal.Fermé" xfId="121" xr:uid="{00000000-0005-0000-0000-000078000000}"/>
    <cellStyle name="Cal.Ouvert" xfId="122" xr:uid="{00000000-0005-0000-0000-000079000000}"/>
    <cellStyle name="Calcul" xfId="123" xr:uid="{00000000-0005-0000-0000-00007A000000}"/>
    <cellStyle name="Cálculo" xfId="124" xr:uid="{00000000-0005-0000-0000-00007B000000}"/>
    <cellStyle name="Celda de comprobación" xfId="125" xr:uid="{00000000-0005-0000-0000-00007C000000}"/>
    <cellStyle name="Celda vinculada" xfId="126" xr:uid="{00000000-0005-0000-0000-00007D000000}"/>
    <cellStyle name="Cellule liée" xfId="127" xr:uid="{00000000-0005-0000-0000-00007E000000}"/>
    <cellStyle name="Centered Heading" xfId="128" xr:uid="{00000000-0005-0000-0000-00007F000000}"/>
    <cellStyle name="Coefficient" xfId="129" xr:uid="{00000000-0005-0000-0000-000080000000}"/>
    <cellStyle name="Comma" xfId="130" builtinId="3"/>
    <cellStyle name="Comma [0]" xfId="131" builtinId="6"/>
    <cellStyle name="Comma 2" xfId="132" xr:uid="{00000000-0005-0000-0000-000081000000}"/>
    <cellStyle name="Comma 2 2" xfId="133" xr:uid="{00000000-0005-0000-0000-000082000000}"/>
    <cellStyle name="Comma 2 3" xfId="134" xr:uid="{00000000-0005-0000-0000-000083000000}"/>
    <cellStyle name="Commentaire" xfId="135" xr:uid="{00000000-0005-0000-0000-000084000000}"/>
    <cellStyle name="Company Name" xfId="136" xr:uid="{00000000-0005-0000-0000-000085000000}"/>
    <cellStyle name="Date" xfId="137" xr:uid="{00000000-0005-0000-0000-000086000000}"/>
    <cellStyle name="Decimal" xfId="138" xr:uid="{00000000-0005-0000-0000-000087000000}"/>
    <cellStyle name="Dezimal [0]_Asset Mgmt (2)" xfId="139" xr:uid="{00000000-0005-0000-0000-000088000000}"/>
    <cellStyle name="Dezimal_070320 Basic Latch @ 2 4 millions latches per year Version 8 Scenario last call  March 22nd + new volumes ESL" xfId="140" xr:uid="{00000000-0005-0000-0000-000089000000}"/>
    <cellStyle name="Encabezado 4" xfId="141" xr:uid="{00000000-0005-0000-0000-00008A000000}"/>
    <cellStyle name="Énfasis1" xfId="142" xr:uid="{00000000-0005-0000-0000-00008B000000}"/>
    <cellStyle name="Énfasis2" xfId="143" xr:uid="{00000000-0005-0000-0000-00008C000000}"/>
    <cellStyle name="Énfasis3" xfId="144" xr:uid="{00000000-0005-0000-0000-00008D000000}"/>
    <cellStyle name="Énfasis4" xfId="145" xr:uid="{00000000-0005-0000-0000-00008E000000}"/>
    <cellStyle name="Énfasis5" xfId="146" xr:uid="{00000000-0005-0000-0000-00008F000000}"/>
    <cellStyle name="Énfasis6" xfId="147" xr:uid="{00000000-0005-0000-0000-000090000000}"/>
    <cellStyle name="Entrada" xfId="148" xr:uid="{00000000-0005-0000-0000-000091000000}"/>
    <cellStyle name="Entrée" xfId="149" xr:uid="{00000000-0005-0000-0000-000092000000}"/>
    <cellStyle name="Euro" xfId="150" xr:uid="{00000000-0005-0000-0000-000093000000}"/>
    <cellStyle name="Fixed" xfId="151" xr:uid="{00000000-0005-0000-0000-000094000000}"/>
    <cellStyle name="FormatBlueWhiteMiddle" xfId="152" xr:uid="{00000000-0005-0000-0000-000095000000}"/>
    <cellStyle name="G" xfId="153" xr:uid="{00000000-0005-0000-0000-000096000000}"/>
    <cellStyle name="GB" xfId="154" xr:uid="{00000000-0005-0000-0000-000097000000}"/>
    <cellStyle name="General Title" xfId="155" xr:uid="{00000000-0005-0000-0000-000098000000}"/>
    <cellStyle name="Green" xfId="156" xr:uid="{00000000-0005-0000-0000-000099000000}"/>
    <cellStyle name="Grey" xfId="157" xr:uid="{00000000-0005-0000-0000-00009A000000}"/>
    <cellStyle name="HeaderStyle" xfId="158" xr:uid="{00000000-0005-0000-0000-00009B000000}"/>
    <cellStyle name="Heading" xfId="159" xr:uid="{00000000-0005-0000-0000-00009C000000}"/>
    <cellStyle name="Heading No Underline" xfId="160" xr:uid="{00000000-0005-0000-0000-00009D000000}"/>
    <cellStyle name="Hyperion Date" xfId="161" xr:uid="{00000000-0005-0000-0000-00009E000000}"/>
    <cellStyle name="Hyperion General Title" xfId="162" xr:uid="{00000000-0005-0000-0000-00009F000000}"/>
    <cellStyle name="Hyperion Totals" xfId="163" xr:uid="{00000000-0005-0000-0000-0000A0000000}"/>
    <cellStyle name="Hyperion Values" xfId="164" xr:uid="{00000000-0005-0000-0000-0000A1000000}"/>
    <cellStyle name="Hyperion Values 2" xfId="165" xr:uid="{00000000-0005-0000-0000-0000A2000000}"/>
    <cellStyle name="Hypertextový odkaz_181_Material Performance_AOP_2004" xfId="166" xr:uid="{00000000-0005-0000-0000-0000A3000000}"/>
    <cellStyle name="Incorrecto" xfId="167" xr:uid="{00000000-0005-0000-0000-0000A4000000}"/>
    <cellStyle name="Input [yellow]" xfId="168" xr:uid="{00000000-0005-0000-0000-0000A5000000}"/>
    <cellStyle name="Insatisfaisant" xfId="169" xr:uid="{00000000-0005-0000-0000-0000A6000000}"/>
    <cellStyle name="Integer" xfId="170" xr:uid="{00000000-0005-0000-0000-0000A7000000}"/>
    <cellStyle name="Lien hypertexte_PQ25 MOTORS TARGETS VS QUOTE_V2" xfId="171" xr:uid="{00000000-0005-0000-0000-0000A8000000}"/>
    <cellStyle name="MergedCellStyle" xfId="172" xr:uid="{00000000-0005-0000-0000-0000A9000000}"/>
    <cellStyle name="Migliaia (0)_ANAGRAFICA" xfId="173" xr:uid="{00000000-0005-0000-0000-0000AA000000}"/>
    <cellStyle name="Migliaia_Foglio1" xfId="174" xr:uid="{00000000-0005-0000-0000-0000AB000000}"/>
    <cellStyle name="Millares [0]_A86 (system) (9jan02)" xfId="175" xr:uid="{00000000-0005-0000-0000-0000AC000000}"/>
    <cellStyle name="Millares_A86 (system) (9jan02)" xfId="176" xr:uid="{00000000-0005-0000-0000-0000AD000000}"/>
    <cellStyle name="Milliers [0]_RO template" xfId="177" xr:uid="{00000000-0005-0000-0000-0000AE000000}"/>
    <cellStyle name="Milliers_1 - Esson AOP06 Plant Package_v1 02_06_05" xfId="178" xr:uid="{00000000-0005-0000-0000-0000AF000000}"/>
    <cellStyle name="Moeda_Modelo de Orçamento MORILLO REVISADO1" xfId="179" xr:uid="{00000000-0005-0000-0000-0000B0000000}"/>
    <cellStyle name="Moneda [0]_A86 (system) (9jan02)" xfId="180" xr:uid="{00000000-0005-0000-0000-0000B1000000}"/>
    <cellStyle name="Moneda_A86 (system) (9jan02)" xfId="181" xr:uid="{00000000-0005-0000-0000-0000B2000000}"/>
    <cellStyle name="Monétaire [0]_Volume Sully" xfId="182" xr:uid="{00000000-0005-0000-0000-0000B3000000}"/>
    <cellStyle name="Monétaire_~0011881" xfId="183" xr:uid="{00000000-0005-0000-0000-0000B4000000}"/>
    <cellStyle name="Neutre" xfId="184" xr:uid="{00000000-0005-0000-0000-0000B5000000}"/>
    <cellStyle name="No-definido" xfId="185" xr:uid="{00000000-0005-0000-0000-0000B6000000}"/>
    <cellStyle name="Norm੎੎" xfId="186" xr:uid="{00000000-0005-0000-0000-0000B7000000}"/>
    <cellStyle name="Normal" xfId="0" builtinId="0"/>
    <cellStyle name="Normal - Style1" xfId="187" xr:uid="{00000000-0005-0000-0000-0000B8000000}"/>
    <cellStyle name="Normal 2" xfId="188" xr:uid="{00000000-0005-0000-0000-0000B9000000}"/>
    <cellStyle name="Normal 2 2" xfId="189" xr:uid="{00000000-0005-0000-0000-0000BA000000}"/>
    <cellStyle name="Normal 3" xfId="190" xr:uid="{00000000-0005-0000-0000-0000BB000000}"/>
    <cellStyle name="Normal 3 2" xfId="191" xr:uid="{00000000-0005-0000-0000-0000BC000000}"/>
    <cellStyle name="NormalCellStyle" xfId="192" xr:uid="{00000000-0005-0000-0000-0000BD000000}"/>
    <cellStyle name="Normale_Griglia Prodotto 312_4-11-2005" xfId="193" xr:uid="{00000000-0005-0000-0000-0000BE000000}"/>
    <cellStyle name="normální__IS_AOP-2008" xfId="194" xr:uid="{00000000-0005-0000-0000-0000BF000000}"/>
    <cellStyle name="Notas" xfId="195" xr:uid="{00000000-0005-0000-0000-0000C0000000}"/>
    <cellStyle name="Numeric" xfId="196" xr:uid="{00000000-0005-0000-0000-0000C1000000}"/>
    <cellStyle name="Œ…‹æØ‚è [0.00]_laroux" xfId="197" xr:uid="{00000000-0005-0000-0000-0000C2000000}"/>
    <cellStyle name="Œ…‹æØ‚è_laroux" xfId="198" xr:uid="{00000000-0005-0000-0000-0000C3000000}"/>
    <cellStyle name="Percent" xfId="199" builtinId="5"/>
    <cellStyle name="Percent (0)" xfId="200" xr:uid="{00000000-0005-0000-0000-0000C4000000}"/>
    <cellStyle name="Percent [2]" xfId="201" xr:uid="{00000000-0005-0000-0000-0000C5000000}"/>
    <cellStyle name="Percent 2" xfId="202" xr:uid="{00000000-0005-0000-0000-0000C6000000}"/>
    <cellStyle name="Percent 2 2" xfId="203" xr:uid="{00000000-0005-0000-0000-0000C7000000}"/>
    <cellStyle name="Percentage" xfId="204" xr:uid="{00000000-0005-0000-0000-0000C8000000}"/>
    <cellStyle name="PSChar" xfId="205" xr:uid="{00000000-0005-0000-0000-0000C9000000}"/>
    <cellStyle name="PSDate" xfId="206" xr:uid="{00000000-0005-0000-0000-0000CA000000}"/>
    <cellStyle name="PSDec" xfId="207" xr:uid="{00000000-0005-0000-0000-0000CB000000}"/>
    <cellStyle name="PSHeading" xfId="208" xr:uid="{00000000-0005-0000-0000-0000CC000000}"/>
    <cellStyle name="PSInt" xfId="209" xr:uid="{00000000-0005-0000-0000-0000CD000000}"/>
    <cellStyle name="PSSpacer" xfId="210" xr:uid="{00000000-0005-0000-0000-0000CE000000}"/>
    <cellStyle name="R" xfId="211" xr:uid="{00000000-0005-0000-0000-0000CF000000}"/>
    <cellStyle name="RB" xfId="212" xr:uid="{00000000-0005-0000-0000-0000D0000000}"/>
    <cellStyle name="Red" xfId="213" xr:uid="{00000000-0005-0000-0000-0000D1000000}"/>
    <cellStyle name="Salida" xfId="214" xr:uid="{00000000-0005-0000-0000-0000D2000000}"/>
    <cellStyle name="Satisfaisant" xfId="215" xr:uid="{00000000-0005-0000-0000-0000D3000000}"/>
    <cellStyle name="Sortie" xfId="216" xr:uid="{00000000-0005-0000-0000-0000D4000000}"/>
    <cellStyle name="Standaard_Blank" xfId="217" xr:uid="{00000000-0005-0000-0000-0000D5000000}"/>
    <cellStyle name="Standard_1020" xfId="218" xr:uid="{00000000-0005-0000-0000-0000D6000000}"/>
    <cellStyle name="Style 1" xfId="219" xr:uid="{00000000-0005-0000-0000-0000D7000000}"/>
    <cellStyle name="StyleJourFictif" xfId="220" xr:uid="{00000000-0005-0000-0000-0000D8000000}"/>
    <cellStyle name="Text" xfId="221" xr:uid="{00000000-0005-0000-0000-0000D9000000}"/>
    <cellStyle name="Texte explicatif" xfId="222" xr:uid="{00000000-0005-0000-0000-0000DA000000}"/>
    <cellStyle name="Texto de advertencia" xfId="223" xr:uid="{00000000-0005-0000-0000-0000DB000000}"/>
    <cellStyle name="Texto explicativo" xfId="224" xr:uid="{00000000-0005-0000-0000-0000DC000000}"/>
    <cellStyle name="Tickmark" xfId="225" xr:uid="{00000000-0005-0000-0000-0000DD000000}"/>
    <cellStyle name="Titre" xfId="226" xr:uid="{00000000-0005-0000-0000-0000DE000000}"/>
    <cellStyle name="Titre 1" xfId="227" xr:uid="{00000000-0005-0000-0000-0000DF000000}"/>
    <cellStyle name="Titre 2" xfId="228" xr:uid="{00000000-0005-0000-0000-0000E0000000}"/>
    <cellStyle name="Titre 3" xfId="229" xr:uid="{00000000-0005-0000-0000-0000E1000000}"/>
    <cellStyle name="Titre 4" xfId="230" xr:uid="{00000000-0005-0000-0000-0000E2000000}"/>
    <cellStyle name="Titre_2011-Total" xfId="231" xr:uid="{00000000-0005-0000-0000-0000E3000000}"/>
    <cellStyle name="Título" xfId="232" xr:uid="{00000000-0005-0000-0000-0000E4000000}"/>
    <cellStyle name="Título 1" xfId="233" xr:uid="{00000000-0005-0000-0000-0000E5000000}"/>
    <cellStyle name="Título 2" xfId="234" xr:uid="{00000000-0005-0000-0000-0000E6000000}"/>
    <cellStyle name="Título 3" xfId="235" xr:uid="{00000000-0005-0000-0000-0000E7000000}"/>
    <cellStyle name="Título_2011-Total" xfId="236" xr:uid="{00000000-0005-0000-0000-0000E8000000}"/>
    <cellStyle name="Undefiniert" xfId="237" xr:uid="{00000000-0005-0000-0000-0000E9000000}"/>
    <cellStyle name="Valuta (0)_03" xfId="238" xr:uid="{00000000-0005-0000-0000-0000EA000000}"/>
    <cellStyle name="Valuta [0]_Drawings" xfId="239" xr:uid="{00000000-0005-0000-0000-0000EB000000}"/>
    <cellStyle name="Valuta_Drawings" xfId="240" xr:uid="{00000000-0005-0000-0000-0000EC000000}"/>
    <cellStyle name="varnegative" xfId="241" xr:uid="{00000000-0005-0000-0000-0000ED000000}"/>
    <cellStyle name="varpositive" xfId="242" xr:uid="{00000000-0005-0000-0000-0000EE000000}"/>
    <cellStyle name="Vérification" xfId="243" xr:uid="{00000000-0005-0000-0000-0000EF000000}"/>
    <cellStyle name="Währung [0]_Asset Mgmt (2)" xfId="244" xr:uid="{00000000-0005-0000-0000-0000F0000000}"/>
    <cellStyle name="Währung_Asset Mgmt (2)" xfId="245" xr:uid="{00000000-0005-0000-0000-0000F1000000}"/>
    <cellStyle name="Y" xfId="246" xr:uid="{00000000-0005-0000-0000-0000F2000000}"/>
    <cellStyle name="YB" xfId="247" xr:uid="{00000000-0005-0000-0000-0000F3000000}"/>
    <cellStyle name="Yellow" xfId="248" xr:uid="{00000000-0005-0000-0000-0000F4000000}"/>
    <cellStyle name="パーセント()" xfId="249" xr:uid="{00000000-0005-0000-0000-0000F5000000}"/>
    <cellStyle name="パーセント(0.00)" xfId="250" xr:uid="{00000000-0005-0000-0000-0000F6000000}"/>
    <cellStyle name="パーセント[0.00]" xfId="251" xr:uid="{00000000-0005-0000-0000-0000F7000000}"/>
    <cellStyle name="ﾎｴｶｨﾒ・" xfId="252" xr:uid="{00000000-0005-0000-0000-0000F8000000}"/>
    <cellStyle name="ﾎｴｶｨﾒ蘋B_x0004_" xfId="253" xr:uid="{00000000-0005-0000-0000-0000F9000000}"/>
    <cellStyle name="스타일 1" xfId="284" xr:uid="{00000000-0005-0000-0000-000013010000}"/>
    <cellStyle name="표준 2" xfId="285" xr:uid="{00000000-0005-0000-0000-00001A010000}"/>
    <cellStyle name="표준_2011 AOP-Korea Apr 2011" xfId="286" xr:uid="{00000000-0005-0000-0000-00001B010000}"/>
    <cellStyle name="千位分隔_AOP08 Capex-Changchun" xfId="276" xr:uid="{00000000-0005-0000-0000-000016010000}"/>
    <cellStyle name="常规 2" xfId="255" xr:uid="{00000000-0005-0000-0000-0000FF000000}"/>
    <cellStyle name="常规 2 2" xfId="256" xr:uid="{00000000-0005-0000-0000-000000010000}"/>
    <cellStyle name="常规 2 2 2" xfId="257" xr:uid="{00000000-0005-0000-0000-000001010000}"/>
    <cellStyle name="常规 2 2 3" xfId="258" xr:uid="{00000000-0005-0000-0000-000002010000}"/>
    <cellStyle name="常规 2 3" xfId="259" xr:uid="{00000000-0005-0000-0000-000003010000}"/>
    <cellStyle name="常规 3" xfId="260" xr:uid="{00000000-0005-0000-0000-000004010000}"/>
    <cellStyle name="常规 3 2" xfId="261" xr:uid="{00000000-0005-0000-0000-000005010000}"/>
    <cellStyle name="常规 3 2 2" xfId="262" xr:uid="{00000000-0005-0000-0000-000006010000}"/>
    <cellStyle name="常规 3 2 2 2" xfId="263" xr:uid="{00000000-0005-0000-0000-000007010000}"/>
    <cellStyle name="常规 3 2 3" xfId="264" xr:uid="{00000000-0005-0000-0000-000008010000}"/>
    <cellStyle name="常规 3 3" xfId="265" xr:uid="{00000000-0005-0000-0000-000009010000}"/>
    <cellStyle name="常规 3 3 2" xfId="266" xr:uid="{00000000-0005-0000-0000-00000A010000}"/>
    <cellStyle name="常规 3 4" xfId="267" xr:uid="{00000000-0005-0000-0000-00000B010000}"/>
    <cellStyle name="常规 4" xfId="268" xr:uid="{00000000-0005-0000-0000-00000C010000}"/>
    <cellStyle name="常规 4 2" xfId="269" xr:uid="{00000000-0005-0000-0000-00000D010000}"/>
    <cellStyle name="常规 4 2 2" xfId="270" xr:uid="{00000000-0005-0000-0000-00000E010000}"/>
    <cellStyle name="常规 4 3" xfId="271" xr:uid="{00000000-0005-0000-0000-00000F010000}"/>
    <cellStyle name="常规_AOP ET China FY 07 08 Pudong 060420(1)" xfId="272" xr:uid="{00000000-0005-0000-0000-000010010000}"/>
    <cellStyle name="折り返し" xfId="283" xr:uid="{00000000-0005-0000-0000-000015010000}"/>
    <cellStyle name="未定义_x0012_" xfId="279" xr:uid="{00000000-0005-0000-0000-0000FC000000}"/>
    <cellStyle name="未定义_B_x0004_" xfId="280" xr:uid="{00000000-0005-0000-0000-0000FD000000}"/>
    <cellStyle name="未定義" xfId="281" xr:uid="{00000000-0005-0000-0000-0000FB000000}"/>
    <cellStyle name="样式 1" xfId="282" xr:uid="{00000000-0005-0000-0000-000014010000}"/>
    <cellStyle name="桁区切り [0.00]_AR 0710" xfId="273" xr:uid="{00000000-0005-0000-0000-00001D010000}"/>
    <cellStyle name="桁区切り_AR 0710" xfId="274" xr:uid="{00000000-0005-0000-0000-00001E010000}"/>
    <cellStyle name="標準_386 NABS DOOR BURDEN. PERF FY2002" xfId="254" xr:uid="{00000000-0005-0000-0000-00001C010000}"/>
    <cellStyle name="見出し１" xfId="275" xr:uid="{00000000-0005-0000-0000-0000FA000000}"/>
    <cellStyle name="通貨 [0.00]_AR 0710" xfId="277" xr:uid="{00000000-0005-0000-0000-000017010000}"/>
    <cellStyle name="通貨_AR 0710" xfId="278" xr:uid="{00000000-0005-0000-0000-000018010000}"/>
  </cellStyles>
  <dxfs count="0"/>
  <tableStyles count="0" defaultTableStyle="TableStyleMedium2" defaultPivotStyle="PivotStyleLight16"/>
  <colors>
    <mruColors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20.xml"/><Relationship Id="rId21" Type="http://schemas.openxmlformats.org/officeDocument/2006/relationships/externalLink" Target="externalLinks/externalLink15.xml"/><Relationship Id="rId34" Type="http://schemas.openxmlformats.org/officeDocument/2006/relationships/externalLink" Target="externalLinks/externalLink28.xml"/><Relationship Id="rId42" Type="http://schemas.openxmlformats.org/officeDocument/2006/relationships/externalLink" Target="externalLinks/externalLink36.xml"/><Relationship Id="rId47" Type="http://schemas.openxmlformats.org/officeDocument/2006/relationships/externalLink" Target="externalLinks/externalLink41.xml"/><Relationship Id="rId50" Type="http://schemas.openxmlformats.org/officeDocument/2006/relationships/externalLink" Target="externalLinks/externalLink44.xml"/><Relationship Id="rId55" Type="http://schemas.openxmlformats.org/officeDocument/2006/relationships/externalLink" Target="externalLinks/externalLink49.xml"/><Relationship Id="rId63" Type="http://schemas.openxmlformats.org/officeDocument/2006/relationships/styles" Target="styles.xml"/><Relationship Id="rId68" Type="http://schemas.openxmlformats.org/officeDocument/2006/relationships/customXml" Target="../customXml/item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23.xml"/><Relationship Id="rId11" Type="http://schemas.openxmlformats.org/officeDocument/2006/relationships/externalLink" Target="externalLinks/externalLink5.xml"/><Relationship Id="rId24" Type="http://schemas.openxmlformats.org/officeDocument/2006/relationships/externalLink" Target="externalLinks/externalLink18.xml"/><Relationship Id="rId32" Type="http://schemas.openxmlformats.org/officeDocument/2006/relationships/externalLink" Target="externalLinks/externalLink26.xml"/><Relationship Id="rId37" Type="http://schemas.openxmlformats.org/officeDocument/2006/relationships/externalLink" Target="externalLinks/externalLink31.xml"/><Relationship Id="rId40" Type="http://schemas.openxmlformats.org/officeDocument/2006/relationships/externalLink" Target="externalLinks/externalLink34.xml"/><Relationship Id="rId45" Type="http://schemas.openxmlformats.org/officeDocument/2006/relationships/externalLink" Target="externalLinks/externalLink39.xml"/><Relationship Id="rId53" Type="http://schemas.openxmlformats.org/officeDocument/2006/relationships/externalLink" Target="externalLinks/externalLink47.xml"/><Relationship Id="rId58" Type="http://schemas.openxmlformats.org/officeDocument/2006/relationships/externalLink" Target="externalLinks/externalLink52.xml"/><Relationship Id="rId66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55.xml"/><Relationship Id="rId19" Type="http://schemas.openxmlformats.org/officeDocument/2006/relationships/externalLink" Target="externalLinks/externalLink13.xml"/><Relationship Id="rId14" Type="http://schemas.openxmlformats.org/officeDocument/2006/relationships/externalLink" Target="externalLinks/externalLink8.xml"/><Relationship Id="rId22" Type="http://schemas.openxmlformats.org/officeDocument/2006/relationships/externalLink" Target="externalLinks/externalLink16.xml"/><Relationship Id="rId27" Type="http://schemas.openxmlformats.org/officeDocument/2006/relationships/externalLink" Target="externalLinks/externalLink21.xml"/><Relationship Id="rId30" Type="http://schemas.openxmlformats.org/officeDocument/2006/relationships/externalLink" Target="externalLinks/externalLink24.xml"/><Relationship Id="rId35" Type="http://schemas.openxmlformats.org/officeDocument/2006/relationships/externalLink" Target="externalLinks/externalLink29.xml"/><Relationship Id="rId43" Type="http://schemas.openxmlformats.org/officeDocument/2006/relationships/externalLink" Target="externalLinks/externalLink37.xml"/><Relationship Id="rId48" Type="http://schemas.openxmlformats.org/officeDocument/2006/relationships/externalLink" Target="externalLinks/externalLink42.xml"/><Relationship Id="rId56" Type="http://schemas.openxmlformats.org/officeDocument/2006/relationships/externalLink" Target="externalLinks/externalLink50.xml"/><Relationship Id="rId64" Type="http://schemas.openxmlformats.org/officeDocument/2006/relationships/sharedStrings" Target="sharedStrings.xml"/><Relationship Id="rId8" Type="http://schemas.openxmlformats.org/officeDocument/2006/relationships/externalLink" Target="externalLinks/externalLink2.xml"/><Relationship Id="rId51" Type="http://schemas.openxmlformats.org/officeDocument/2006/relationships/externalLink" Target="externalLinks/externalLink45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6.xml"/><Relationship Id="rId17" Type="http://schemas.openxmlformats.org/officeDocument/2006/relationships/externalLink" Target="externalLinks/externalLink11.xml"/><Relationship Id="rId25" Type="http://schemas.openxmlformats.org/officeDocument/2006/relationships/externalLink" Target="externalLinks/externalLink19.xml"/><Relationship Id="rId33" Type="http://schemas.openxmlformats.org/officeDocument/2006/relationships/externalLink" Target="externalLinks/externalLink27.xml"/><Relationship Id="rId38" Type="http://schemas.openxmlformats.org/officeDocument/2006/relationships/externalLink" Target="externalLinks/externalLink32.xml"/><Relationship Id="rId46" Type="http://schemas.openxmlformats.org/officeDocument/2006/relationships/externalLink" Target="externalLinks/externalLink40.xml"/><Relationship Id="rId59" Type="http://schemas.openxmlformats.org/officeDocument/2006/relationships/externalLink" Target="externalLinks/externalLink53.xml"/><Relationship Id="rId67" Type="http://schemas.openxmlformats.org/officeDocument/2006/relationships/customXml" Target="../customXml/item2.xml"/><Relationship Id="rId20" Type="http://schemas.openxmlformats.org/officeDocument/2006/relationships/externalLink" Target="externalLinks/externalLink14.xml"/><Relationship Id="rId41" Type="http://schemas.openxmlformats.org/officeDocument/2006/relationships/externalLink" Target="externalLinks/externalLink35.xml"/><Relationship Id="rId54" Type="http://schemas.openxmlformats.org/officeDocument/2006/relationships/externalLink" Target="externalLinks/externalLink48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externalLink" Target="externalLinks/externalLink9.xml"/><Relationship Id="rId23" Type="http://schemas.openxmlformats.org/officeDocument/2006/relationships/externalLink" Target="externalLinks/externalLink17.xml"/><Relationship Id="rId28" Type="http://schemas.openxmlformats.org/officeDocument/2006/relationships/externalLink" Target="externalLinks/externalLink22.xml"/><Relationship Id="rId36" Type="http://schemas.openxmlformats.org/officeDocument/2006/relationships/externalLink" Target="externalLinks/externalLink30.xml"/><Relationship Id="rId49" Type="http://schemas.openxmlformats.org/officeDocument/2006/relationships/externalLink" Target="externalLinks/externalLink43.xml"/><Relationship Id="rId57" Type="http://schemas.openxmlformats.org/officeDocument/2006/relationships/externalLink" Target="externalLinks/externalLink51.xml"/><Relationship Id="rId10" Type="http://schemas.openxmlformats.org/officeDocument/2006/relationships/externalLink" Target="externalLinks/externalLink4.xml"/><Relationship Id="rId31" Type="http://schemas.openxmlformats.org/officeDocument/2006/relationships/externalLink" Target="externalLinks/externalLink25.xml"/><Relationship Id="rId44" Type="http://schemas.openxmlformats.org/officeDocument/2006/relationships/externalLink" Target="externalLinks/externalLink38.xml"/><Relationship Id="rId52" Type="http://schemas.openxmlformats.org/officeDocument/2006/relationships/externalLink" Target="externalLinks/externalLink46.xml"/><Relationship Id="rId60" Type="http://schemas.openxmlformats.org/officeDocument/2006/relationships/externalLink" Target="externalLinks/externalLink54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3" Type="http://schemas.openxmlformats.org/officeDocument/2006/relationships/externalLink" Target="externalLinks/externalLink7.xml"/><Relationship Id="rId18" Type="http://schemas.openxmlformats.org/officeDocument/2006/relationships/externalLink" Target="externalLinks/externalLink12.xml"/><Relationship Id="rId39" Type="http://schemas.openxmlformats.org/officeDocument/2006/relationships/externalLink" Target="externalLinks/externalLink3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107950</xdr:colOff>
      <xdr:row>2</xdr:row>
      <xdr:rowOff>196850</xdr:rowOff>
    </xdr:from>
    <xdr:to>
      <xdr:col>15</xdr:col>
      <xdr:colOff>412750</xdr:colOff>
      <xdr:row>42</xdr:row>
      <xdr:rowOff>82550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918410-CD26-22C7-33ED-CF34727A53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13550" y="514350"/>
          <a:ext cx="4152900" cy="449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321469</xdr:colOff>
      <xdr:row>7</xdr:row>
      <xdr:rowOff>190499</xdr:rowOff>
    </xdr:from>
    <xdr:to>
      <xdr:col>15</xdr:col>
      <xdr:colOff>107158</xdr:colOff>
      <xdr:row>10</xdr:row>
      <xdr:rowOff>35719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CAFB13F-4265-347D-DB54-68F9C5E41174}"/>
            </a:ext>
          </a:extLst>
        </xdr:cNvPr>
        <xdr:cNvSpPr/>
      </xdr:nvSpPr>
      <xdr:spPr>
        <a:xfrm>
          <a:off x="6619875" y="440530"/>
          <a:ext cx="3952877" cy="59531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40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chemeClr val="bg1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PLEASE UPDATE</a:t>
          </a:r>
          <a:endParaRPr lang="zh-CN" altLang="en-US" sz="40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solidFill>
              <a:schemeClr val="bg1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95</xdr:row>
      <xdr:rowOff>0</xdr:rowOff>
    </xdr:from>
    <xdr:to>
      <xdr:col>4</xdr:col>
      <xdr:colOff>590550</xdr:colOff>
      <xdr:row>103</xdr:row>
      <xdr:rowOff>133350</xdr:rowOff>
    </xdr:to>
    <xdr:pic>
      <xdr:nvPicPr>
        <xdr:cNvPr id="61689" name="Picture 1">
          <a:extLst>
            <a:ext uri="{FF2B5EF4-FFF2-40B4-BE49-F238E27FC236}">
              <a16:creationId xmlns:a16="http://schemas.microsoft.com/office/drawing/2014/main" id="{082B7013-214E-8CAF-B4BE-38FFD79DF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621625"/>
          <a:ext cx="5295900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438150</xdr:colOff>
      <xdr:row>0</xdr:row>
      <xdr:rowOff>0</xdr:rowOff>
    </xdr:from>
    <xdr:to>
      <xdr:col>3</xdr:col>
      <xdr:colOff>53975</xdr:colOff>
      <xdr:row>1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2351FEB-F7EA-48DA-BF12-D1F92F526B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63750" y="0"/>
          <a:ext cx="1692275" cy="32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TREASURY\Capital%20Markets\Ad%20Hoc%20Analysis\Visteon%20Liquidity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fps005\SHARE\FINANCE\ASIAPAC\CTS\KOREA\FY2002\MAY02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fps005\SHARE\Cost%20Analysis\Quote%20Files\Saturn%20SUV\996282%20CONV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TADS001\DShare\FINANCE\Cts2000\CTSFEB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fps005\SHARE\WINDOWS\TEMP\G7-4137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MYDOCU~2\AOP\AOP98\ROOFS\AOP98ROF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zhefps001\Share\LORENZMA\AOP04\Package\Corpalloc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ulfps001\groups\Accounting\AOP\09\316\Plant%20Spending\Archive\Accounting\AOP\06\Plant%20Spending%20-%20LVS%20Mullins\Marion%20%20-%20Doors%20FY%202006%20AOP%20by%20dept%20Revised%20Oct%2026th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Eigene%20Dateien\GMIM%203.0\VW350%20WR.C2C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VW\GMIM\SK%20351.C2C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TADS001\DShare\Spreadsh\JOURNAL\REPORTS\941ST99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forcast\Motor%20line%20capacity%20calculation%2020080304\NGM%20Motor%20Capacity%20Calcution%202008-04-22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borgesj\Mes%20documents\Borges%20Joachim\BMW%20Serie%207\August%202005\MTM%20Analysis%20-%20Halter%20Support%20Assy%20-%20August%202005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gf10.arvinmeritor.com/MSOffice/Excel/OPSA9711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windows\TEMP\FY2002%20AOP%20-%20O%20'Rourke%20Presentation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zhefps001\Share\Working%20data\Monthly%20flash\Monthly%20result%20analysis%202010\Monthly%20result%20analysis\R&amp;O\April%202010\R&amp;O%20full%20year-20100410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Eigene%20Dateien\GMIM%203.0\VW%20350%20D.C2C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gf10.arvinmeritor.com/GIFIW03/daten/BUCHHALT/ALLGEMEI/FORECAST/FY%202002/MFG00ACT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ULFPS001\Groups\Mes%20documents\JEGL\Warranty2007\Performance%20Plus\BPD%20Doors%20Warranty\Procedures%20&amp;%20Instructions\WCD%20Warranty%20Cost%20Details\Esson\WCD%20%20Warranty%20Cost%20Details%20V2%20Esson%20070412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fps005\SHARE\Documents%20and%20Settings\lecoqp\Local%20Settings\Temporary%20Internet%20Files\OLKB\LVS%20AR%20Form%20(with%20Formulas)%20Doors%20Complex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gaineys\My%20Documents\Program%20Folders\Ford\P131\Glass%20Channel-Clamp\ARs\Copy%20of%20MarionWRTransferCostTracker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zhefps001\Share\Documents%20and%20Settings\tianaq\Local%20Settings\Temporary%20Internet%20Files\OLK2B2\&#9733;Hannah&#9733;\AOP\0803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ponchos\Local%20Settings\Temporary%20Internet%20Files\OLK8E\BMW%20F25%20Scope%2020070610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fps005\SHARE\ser\fin\FPA\Quotations\CHRYSLER\DCX%20Plastic%20Door%20Module\ser\ind\Devis\Smart\Smart%20-%20January%202004%20Quotation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ulfps001\groups\Accounting\AOP\09\316\Plant%20Spending\Archive\Accounting\AOP\06\Montgomery\Montgomery%20AOP%20Plant%20Summary%20Oct%2019th-Final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fps005\SHARE\ser\fin\FPA\Quotations\CHRYSLER\DCX%20Plastic%20Door%20Module\_FIN001\QUOTATIO\EXAMPLE0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HOME\FSTAFF\AOPBAME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fps005\SHARE\ser\ind\Devis\RENAULT\W95\July2005\E.B.O.M\W95%20Quotation%20%20Porte%20Avant%20sans%20vitre%20fixe%20-%20July%202005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NNOVA\VOL1\VAD\TR_SAL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PERSONEL\DELPFESI\ESICSF97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gf10.arvinmeritor.com/Finanz_FFM/AOP/FY04/Capital%20Investment/Investplan%202004_Rodenh&#228;user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Zhefps001\share\Documents%20and%20Settings\shixh\Local%20Settings\Temporary%20Internet%20Files\OLK2D4\Oriondetail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fps005\SHARE\FINANCE\Aop2004\1020%20%201060%20Package%20AOP04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gf10.arvinmeritor.com/GIFIW03/daten/BUCHHALT/ALLGEMEI/FORECAST/FY%202002/NEUV+M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zhefps001\Share\FY09%20%20FY10%20AOP%20Korea%20Start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fps005\SHARE\Documents%20and%20Settings\mossep\Local%20Settings\Temporary%20Internet%20Files\OLK1\Yield%20Curves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sonar\ABELIN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fps005\SHARE\Documents%20and%20Settings\turnera\Local%20Settings\Temporary%20Internet%20Files\OLK40\JYLEMILL\FORECAST\FCSTQ2\PATAOP99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gf10.arvinmeritor.com/GifiW03/DATEN/BUCHHALT/ALLGEMEI/AOP2000/P&amp;L_AOPR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fps005\SHARE\FINANCE\CTS2001\CTSJAN01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fps005\SHARE\Documents%20and%20Settings\Myungjin%20Lee\Local%20Settings\Temporary%20Internet%20Files\OLK2\Doors-021--File%20server%20%20GMPSL%20connectivity-2006-001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fps005\SHARE\Documents%20and%20Settings\Myungjin%20Lee\Local%20Settings\Temporary%20Internet%20Files\OLK2\FY2006%20AOP%20-%20LVS%20Template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fps005\SHARE\ser\fin\FPA\Quotations\CHRYSLER\DCX%20Plastic%20Door%20Module\ser\fin\dubosd\Quotations\VW\NBC\AR%20NBC\AR%20NBC_1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fps005\SHARE\AOP2003\FY2003%20AOP%20-%20July%2016th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fps005\SHARE\Documents%20and%20Settings\leichtrs\Local%20Settings\Temporary%20Internet%20Files\OLK8\Causal_FY03%201stQtr(Actuals)%20vs%20FY02%201stQtr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corgief\Mes%20Documents%20bis\module%20best%20practice\fichier%20quotation%20module\best%20practice%20module%20summary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kumente%20und%20Einstellungen\schroeaa\Lokale%20Einstellungen\Temporary%20Internet%20Files\OLK5\VW416%20Cost%20summary%2020050712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fps005\SHARE\ser\fin\FPA\Quotations\CHRYSLER\DCX%20Plastic%20Door%20Module\ser\ind\Fc\Devis%20Mod&#232;le%20P%20Devries%20portes%20%20%20essai%20d'utilisation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fps005\SHARE\ser\fin\FPA\Quotations\CHRYSLER\DCX%20Plastic%20Door%20Module\ser\fin\dubosd\Quotations\RENAULT\W84\AR%20E84\Nvelle%20AR\AR%20E84%20global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GosselB\Local%20Settings\Temporary%20Internet%20Files\OLK2\NEM%20version%202%20-2%20Hall%20-%20%20%20%20%20%20%20%20%20revE%20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2000\SERVER2\QC\PPAP%20(K014006)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fps005\SHARE\Documents%20and%20Settings\lorenzma\Local%20Settings\Temporary%20Internet%20Files\OLKBE\FCST_04_Total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fps005\SHARE\Cost%20Analysis\ECHO\15acct-ex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fps005\SHARE\ser\fin\FPA\Quotations\CHRYSLER\DCX%20Plastic%20Door%20Module\AR%20Template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fps005\SHARE\COMFIN\AOP2003\1020_0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 Sheet"/>
      <sheetName val="Income Statement"/>
      <sheetName val="Balance Sheet"/>
      <sheetName val="Analytics"/>
      <sheetName val="Altman Z"/>
      <sheetName val="Altman AZ"/>
      <sheetName val="Burden exp"/>
      <sheetName val="CTS"/>
      <sheetName val="Summary Como"/>
      <sheetName val="Corpalloc"/>
      <sheetName val="Reference Table"/>
      <sheetName val="P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TS"/>
      <sheetName val="Hyperlink"/>
      <sheetName val="TB"/>
      <sheetName val="C"/>
      <sheetName val="D"/>
      <sheetName val="G"/>
      <sheetName val="journ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DGER"/>
      <sheetName val="RECON"/>
      <sheetName val="COVER"/>
      <sheetName val="OPS-SHT COL &quot;B&quot;"/>
      <sheetName val="OPS-SHT COL &quot;F&quot;"/>
      <sheetName val="FS-SHT"/>
      <sheetName val="MAT'L COL&quot;B&quot;"/>
      <sheetName val="MAT'L COL &quot;F&quot;"/>
      <sheetName val="TOOLS"/>
      <sheetName val="FEASIBILITY"/>
      <sheetName val="RECOM_CHGS"/>
      <sheetName val="PKG FORM"/>
      <sheetName val="PURCH Q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"/>
      <sheetName val="CTS"/>
      <sheetName val="EXPORT"/>
      <sheetName val="MFGPRO"/>
      <sheetName val="TB"/>
      <sheetName val="BS"/>
      <sheetName val="INCOME"/>
      <sheetName val="QUICKIE"/>
      <sheetName val="PP&amp;E"/>
      <sheetName val="STATSUM"/>
      <sheetName val="TAX"/>
      <sheetName val="taxsum"/>
      <sheetName val="aged"/>
      <sheetName val="AGED (2)"/>
      <sheetName val="Module2"/>
      <sheetName val="Module3"/>
      <sheetName val="Module4"/>
      <sheetName val="Module5"/>
      <sheetName val="Module6"/>
      <sheetName val="Module7"/>
      <sheetName val="Module8"/>
      <sheetName val="Module9"/>
      <sheetName val="Module10"/>
      <sheetName val="CTSFEB"/>
      <sheetName val="drop down"/>
      <sheetName val="TOOLS"/>
      <sheetName val="Office Improve"/>
      <sheetName val="Corpalloc"/>
      <sheetName val="Calc &amp; Export"/>
      <sheetName val="Carryover 2004"/>
      <sheetName val="Burden exp"/>
      <sheetName val="Sheet1 (2)"/>
      <sheetName val="1060"/>
      <sheetName val="cf"/>
      <sheetName val="cfas"/>
      <sheetName val="cftec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S-SHT"/>
      <sheetName val="col F"/>
      <sheetName val="TOOLS"/>
      <sheetName val="NOTES"/>
      <sheetName val="Module1"/>
      <sheetName val="RECON"/>
      <sheetName val="col A"/>
      <sheetName val="col B"/>
    </sheetNames>
    <sheetDataSet>
      <sheetData sheetId="0" refreshError="1"/>
      <sheetData sheetId="1" refreshError="1"/>
      <sheetData sheetId="2" refreshError="1">
        <row r="279">
          <cell r="BA279" t="str">
            <v>Product can be produced as specified with no revision.</v>
          </cell>
        </row>
        <row r="280">
          <cell r="BA280" t="str">
            <v>Changes recommended.  Product can be improved or be</v>
          </cell>
        </row>
        <row r="281">
          <cell r="BA281" t="str">
            <v>less costly if proposed changes are incorporated.</v>
          </cell>
        </row>
        <row r="282">
          <cell r="BA282" t="str">
            <v>Changes recommended to achieve minimum Cpk.</v>
          </cell>
        </row>
        <row r="283">
          <cell r="BA283" t="str">
            <v>Design revision recommended to produce product within</v>
          </cell>
        </row>
        <row r="284">
          <cell r="BA284" t="str">
            <v>the specified Cpk requirements.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rgins"/>
      <sheetName val="Assumptions"/>
      <sheetName val="ExecSum"/>
      <sheetName val="ByQTR"/>
      <sheetName val="Sales Analysis"/>
      <sheetName val="List1"/>
      <sheetName val="Hypothesis"/>
      <sheetName val="1002-1031170406 Capital Account"/>
      <sheetName val="Corpalloc"/>
      <sheetName val="Calc &amp; Export"/>
      <sheetName val="Carryover 2004"/>
      <sheetName val="Burden exp"/>
      <sheetName val="#REF"/>
      <sheetName val="Report"/>
      <sheetName val="AOP Exec Summary"/>
      <sheetName val="W.REG"/>
      <sheetName val="1020"/>
      <sheetName val="Income Statement"/>
      <sheetName val="Balance Sheet"/>
      <sheetName val="Altman Z"/>
      <sheetName val="parameter"/>
      <sheetName val="Prix HA"/>
      <sheetName val="Sales_Analysis"/>
      <sheetName val="1002-1031170406_Capital_Account"/>
      <sheetName val="Calc_&amp;_Export"/>
      <sheetName val="Carryover_2004"/>
      <sheetName val="Burden_exp"/>
      <sheetName val="AOP_Exec_Summary"/>
      <sheetName val="W_REG"/>
      <sheetName val="Income_Statement"/>
      <sheetName val="Balance_Sheet"/>
      <sheetName val="Altman_Z"/>
      <sheetName val="Prix_HA"/>
      <sheetName val="EJE"/>
      <sheetName val="2008"/>
      <sheetName val="1020 284 08"/>
      <sheetName val="1060"/>
      <sheetName val="DATA in"/>
      <sheetName val="附注(标准)"/>
      <sheetName val="审计调整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 &amp; Export"/>
      <sheetName val="Report"/>
      <sheetName val="#REF"/>
      <sheetName val="AOP Exec Summary"/>
      <sheetName val="Burden exp"/>
      <sheetName val="CAPROOFS IN TDM"/>
      <sheetName val="W.REG"/>
      <sheetName val="Breakeven"/>
      <sheetName val="CAUSAL"/>
      <sheetName val="1020 FF"/>
      <sheetName val="P.A.T."/>
      <sheetName val="STD03"/>
      <sheetName val="STD04"/>
      <sheetName val="Margins"/>
      <sheetName val="Causal vs 03"/>
      <sheetName val="List1"/>
      <sheetName val="Corpalloc"/>
      <sheetName val="FY 2004"/>
      <sheetName val="Carryover 2004"/>
      <sheetName val="ExecSum"/>
      <sheetName val="Burden exp 1060"/>
      <sheetName val="Assumptions"/>
      <sheetName val="Sales per Salary Head"/>
      <sheetName val="Fin"/>
      <sheetName val="Income Statement"/>
      <sheetName val="Balance Sheet"/>
      <sheetName val="Altman Z"/>
      <sheetName val="Sheet1"/>
      <sheetName val="ecr blank"/>
      <sheetName val="Summary"/>
      <sheetName val="Reference Values"/>
      <sheetName val="drop down"/>
      <sheetName val="List"/>
      <sheetName val="Reference Information"/>
      <sheetName val="Sheet3"/>
      <sheetName val="Entity Table"/>
      <sheetName val="Data"/>
    </sheetNames>
    <sheetDataSet>
      <sheetData sheetId="0" refreshError="1">
        <row r="3">
          <cell r="A3" t="str">
            <v>ARM</v>
          </cell>
        </row>
        <row r="8">
          <cell r="B8" t="str">
            <v>LVS Inc, Czech Republic</v>
          </cell>
          <cell r="F8">
            <v>35667.384418356029</v>
          </cell>
        </row>
        <row r="9">
          <cell r="B9" t="str">
            <v>Meritor LVS Liberec A.S.</v>
          </cell>
          <cell r="F9">
            <v>17046.857447211893</v>
          </cell>
        </row>
        <row r="10">
          <cell r="B10" t="str">
            <v>Esson Door Motor</v>
          </cell>
          <cell r="D10">
            <v>23940.878848672382</v>
          </cell>
          <cell r="E10">
            <v>28406.353597648966</v>
          </cell>
          <cell r="F10">
            <v>23252.528720901362</v>
          </cell>
        </row>
        <row r="11">
          <cell r="B11" t="str">
            <v>LVS Inc, Spain</v>
          </cell>
          <cell r="F11">
            <v>27177.941556504302</v>
          </cell>
        </row>
        <row r="12">
          <cell r="B12" t="str">
            <v>Barcelona Door</v>
          </cell>
          <cell r="F12">
            <v>12082.114431443671</v>
          </cell>
        </row>
        <row r="13">
          <cell r="B13" t="str">
            <v>Barcelona Roofs</v>
          </cell>
          <cell r="F13">
            <v>9841.4982986602554</v>
          </cell>
        </row>
        <row r="14">
          <cell r="B14" t="str">
            <v>Barcelona Access Control</v>
          </cell>
          <cell r="F14">
            <v>2321.7772740745586</v>
          </cell>
        </row>
        <row r="15">
          <cell r="B15" t="str">
            <v>LVS Inc. France</v>
          </cell>
          <cell r="E15">
            <v>31599.815177455748</v>
          </cell>
          <cell r="F15">
            <v>21934.923056807733</v>
          </cell>
          <cell r="H15">
            <v>22524.095078760758</v>
          </cell>
        </row>
        <row r="16">
          <cell r="B16" t="str">
            <v>St. Die</v>
          </cell>
          <cell r="E16">
            <v>88716.6697345344</v>
          </cell>
          <cell r="F16">
            <v>97253.729796478612</v>
          </cell>
          <cell r="H16">
            <v>88063.926858670311</v>
          </cell>
        </row>
        <row r="17">
          <cell r="B17" t="str">
            <v>LVS Inc., U.K.</v>
          </cell>
          <cell r="F17">
            <v>5622.9234719131673</v>
          </cell>
          <cell r="H17">
            <v>5656.1629443926686</v>
          </cell>
          <cell r="J17">
            <v>4992.2414118846573</v>
          </cell>
        </row>
        <row r="18">
          <cell r="B18" t="str">
            <v>Birmingham Access Control</v>
          </cell>
          <cell r="F18">
            <v>31081.549581976738</v>
          </cell>
          <cell r="H18">
            <v>30909.178299644031</v>
          </cell>
          <cell r="J18">
            <v>27252.912820572412</v>
          </cell>
        </row>
        <row r="19">
          <cell r="B19" t="str">
            <v>LVS Birmingham Body Systems</v>
          </cell>
          <cell r="F19">
            <v>2016.5613814298304</v>
          </cell>
        </row>
        <row r="20">
          <cell r="B20" t="str">
            <v>Gordonsville Door W.R.</v>
          </cell>
          <cell r="F20">
            <v>66484.715701814624</v>
          </cell>
        </row>
        <row r="21">
          <cell r="B21" t="str">
            <v>Gordonsville Roofs</v>
          </cell>
          <cell r="F21">
            <v>7485.1913957839934</v>
          </cell>
        </row>
        <row r="22">
          <cell r="B22" t="str">
            <v>Gordonsville Access Controls</v>
          </cell>
          <cell r="F22">
            <v>632.2915399400531</v>
          </cell>
        </row>
        <row r="23">
          <cell r="B23" t="str">
            <v>Australia Manufacturing</v>
          </cell>
          <cell r="F23">
            <v>7709.7372008982347</v>
          </cell>
        </row>
        <row r="24">
          <cell r="B24" t="str">
            <v>Preston Access Controls</v>
          </cell>
          <cell r="F24">
            <v>2176.625322670805</v>
          </cell>
        </row>
        <row r="25">
          <cell r="B25" t="str">
            <v>Meritor LVS Zhenjiang Co., Ltd. 1</v>
          </cell>
          <cell r="F25">
            <v>10506.916391673098</v>
          </cell>
        </row>
        <row r="27">
          <cell r="B27" t="str">
            <v>CHSCHIL - A&amp;ET China 100%</v>
          </cell>
          <cell r="F27">
            <v>5671.2452607022278</v>
          </cell>
        </row>
        <row r="28">
          <cell r="B28" t="str">
            <v>NABS Access Control</v>
          </cell>
          <cell r="F28">
            <v>7631.0194354056948</v>
          </cell>
        </row>
        <row r="29">
          <cell r="B29" t="str">
            <v>NABS Door Systems</v>
          </cell>
          <cell r="F29">
            <v>3840.0101732083567</v>
          </cell>
        </row>
        <row r="30">
          <cell r="B30" t="str">
            <v>Meritor Automotive Japan KK</v>
          </cell>
          <cell r="F30">
            <v>3922.218769521598</v>
          </cell>
        </row>
        <row r="34">
          <cell r="F34">
            <v>38017</v>
          </cell>
        </row>
        <row r="35">
          <cell r="B35" t="str">
            <v>avgrate.EURO</v>
          </cell>
          <cell r="F35">
            <v>1.0631200000000001</v>
          </cell>
        </row>
        <row r="36">
          <cell r="B36" t="str">
            <v>avgrate.EURO</v>
          </cell>
          <cell r="F36">
            <v>1.0631200000000001</v>
          </cell>
        </row>
        <row r="37">
          <cell r="B37" t="str">
            <v>avgrate.EURO</v>
          </cell>
          <cell r="F37">
            <v>1.0631200000000001</v>
          </cell>
        </row>
        <row r="38">
          <cell r="B38" t="str">
            <v>avgrate.KORU</v>
          </cell>
          <cell r="F38">
            <v>3.3849999999999998E-2</v>
          </cell>
        </row>
        <row r="39">
          <cell r="B39" t="str">
            <v>avgrate.EURO</v>
          </cell>
          <cell r="E39">
            <v>1.0631200000000001</v>
          </cell>
          <cell r="F39">
            <v>1.0631200000000001</v>
          </cell>
        </row>
        <row r="40">
          <cell r="B40" t="str">
            <v>avgrate.PESO</v>
          </cell>
          <cell r="F40">
            <v>9.5329999999999998E-2</v>
          </cell>
        </row>
        <row r="41">
          <cell r="B41" t="str">
            <v>avgrate.EURO</v>
          </cell>
          <cell r="F41">
            <v>1.0631200000000001</v>
          </cell>
        </row>
        <row r="42">
          <cell r="B42" t="str">
            <v>avgrate.AUS$</v>
          </cell>
          <cell r="F42">
            <v>0.59370999999999996</v>
          </cell>
        </row>
        <row r="43">
          <cell r="B43" t="str">
            <v>avgrate.RUPEES</v>
          </cell>
          <cell r="F43">
            <v>2.0979999999999999E-2</v>
          </cell>
          <cell r="H43">
            <v>2.0979999999999999E-2</v>
          </cell>
        </row>
        <row r="44">
          <cell r="B44" t="str">
            <v>avgrate.YEN</v>
          </cell>
          <cell r="F44">
            <v>8.3472399999999993</v>
          </cell>
        </row>
        <row r="45">
          <cell r="B45" t="str">
            <v>avgrate.REAL$</v>
          </cell>
          <cell r="F45">
            <v>0.29852000000000001</v>
          </cell>
        </row>
        <row r="46">
          <cell r="B46" t="str">
            <v>avgrate.YUAN</v>
          </cell>
          <cell r="F46">
            <v>0.12081</v>
          </cell>
        </row>
        <row r="47">
          <cell r="B47" t="str">
            <v>avgrate.BPS</v>
          </cell>
          <cell r="F47">
            <v>1.5859700000000001</v>
          </cell>
        </row>
        <row r="48">
          <cell r="B48" t="str">
            <v>avgrate.PLN</v>
          </cell>
          <cell r="F48">
            <v>0.25435999999999998</v>
          </cell>
        </row>
        <row r="51">
          <cell r="B51" t="str">
            <v>Torino (New)</v>
          </cell>
          <cell r="F51">
            <v>2385.4426257553187</v>
          </cell>
        </row>
        <row r="52">
          <cell r="B52" t="str">
            <v>Sully</v>
          </cell>
          <cell r="F52">
            <v>86380.449128467197</v>
          </cell>
        </row>
        <row r="53">
          <cell r="B53" t="str">
            <v>LVS Inc, Czech Republic</v>
          </cell>
          <cell r="F53">
            <v>1053689.3476619211</v>
          </cell>
        </row>
        <row r="54">
          <cell r="B54" t="str">
            <v>Meritor LVS Liberec A.S.</v>
          </cell>
          <cell r="F54">
            <v>503599.9245852849</v>
          </cell>
        </row>
        <row r="55">
          <cell r="B55" t="str">
            <v>Esson Door Motor</v>
          </cell>
          <cell r="F55">
            <v>21871.969976015276</v>
          </cell>
        </row>
        <row r="56">
          <cell r="B56" t="str">
            <v>LVS Inc, Spain</v>
          </cell>
          <cell r="F56">
            <v>25564.321578471197</v>
          </cell>
        </row>
        <row r="57">
          <cell r="B57" t="str">
            <v>Barcelona Door</v>
          </cell>
          <cell r="F57">
            <v>11364.770140194589</v>
          </cell>
        </row>
        <row r="58">
          <cell r="B58" t="str">
            <v>Barcelona Roofs</v>
          </cell>
          <cell r="F58">
            <v>9257.1847944354868</v>
          </cell>
        </row>
        <row r="59">
          <cell r="B59" t="str">
            <v>Barcelona Access Control</v>
          </cell>
          <cell r="F59">
            <v>2183.9277542277055</v>
          </cell>
        </row>
        <row r="60">
          <cell r="B60" t="str">
            <v>LVS Inc. France</v>
          </cell>
          <cell r="D60">
            <v>26223.678181058374</v>
          </cell>
          <cell r="E60">
            <v>29723.657891353512</v>
          </cell>
          <cell r="F60">
            <v>20632.593739942557</v>
          </cell>
        </row>
        <row r="61">
          <cell r="B61" t="str">
            <v>St. Die</v>
          </cell>
          <cell r="F61">
            <v>91479.54115855087</v>
          </cell>
        </row>
        <row r="62">
          <cell r="B62" t="str">
            <v>LVS Inc., U.K.</v>
          </cell>
          <cell r="F62">
            <v>3545.4160368185821</v>
          </cell>
        </row>
        <row r="63">
          <cell r="B63" t="str">
            <v>Birmingham Access Control</v>
          </cell>
          <cell r="F63">
            <v>19597.816845196779</v>
          </cell>
        </row>
        <row r="64">
          <cell r="B64" t="str">
            <v>LVS Birmingham Body Systems</v>
          </cell>
          <cell r="F64">
            <v>1271.5003319292484</v>
          </cell>
        </row>
        <row r="65">
          <cell r="B65" t="str">
            <v>Gordonsville Door W.R.</v>
          </cell>
          <cell r="F65">
            <v>66484.715701814624</v>
          </cell>
        </row>
        <row r="66">
          <cell r="B66" t="str">
            <v>Gordonsville Roofs</v>
          </cell>
          <cell r="F66">
            <v>7485.1913957839934</v>
          </cell>
        </row>
        <row r="67">
          <cell r="B67" t="str">
            <v>Gordonsville Access Controls</v>
          </cell>
          <cell r="F67">
            <v>632.2915399400531</v>
          </cell>
        </row>
        <row r="68">
          <cell r="B68" t="str">
            <v>Australia Manufacturing</v>
          </cell>
          <cell r="F68">
            <v>12985.6953746749</v>
          </cell>
        </row>
        <row r="69">
          <cell r="B69" t="str">
            <v>Preston Access Controls</v>
          </cell>
          <cell r="F69">
            <v>3666.142262503251</v>
          </cell>
        </row>
        <row r="70">
          <cell r="B70" t="str">
            <v>Meritor LVS Zhenjiang Co., Ltd. 1</v>
          </cell>
          <cell r="F70">
            <v>86970.585147529986</v>
          </cell>
        </row>
        <row r="71">
          <cell r="B71" t="str">
            <v>Zhenjiang Door Systems</v>
          </cell>
          <cell r="F71">
            <v>16424.754964581542</v>
          </cell>
        </row>
        <row r="72">
          <cell r="B72" t="str">
            <v>CHSCHIL - A&amp;ET China 100%</v>
          </cell>
          <cell r="F72">
            <v>46943.50849020965</v>
          </cell>
        </row>
        <row r="73">
          <cell r="B73" t="str">
            <v>NABS Access Control</v>
          </cell>
          <cell r="F73">
            <v>914.19672076107736</v>
          </cell>
        </row>
        <row r="74">
          <cell r="B74" t="str">
            <v>NABS Door Systems</v>
          </cell>
          <cell r="F74">
            <v>460.03351685208008</v>
          </cell>
        </row>
        <row r="75">
          <cell r="B75" t="str">
            <v>Meritor Automotive Japan KK</v>
          </cell>
          <cell r="F75">
            <v>469.88211307229676</v>
          </cell>
        </row>
        <row r="77">
          <cell r="B77" t="str">
            <v>CHSCHIL - A&amp;ET China 100%</v>
          </cell>
          <cell r="F77">
            <v>5334.5297433048272</v>
          </cell>
        </row>
        <row r="78">
          <cell r="B78" t="str">
            <v>Meritor Automotive Japan KK</v>
          </cell>
          <cell r="F78">
            <v>3689.3471757859861</v>
          </cell>
        </row>
        <row r="80">
          <cell r="B80" t="str">
            <v>07101A</v>
          </cell>
        </row>
        <row r="81">
          <cell r="B81" t="str">
            <v>Torino (New)</v>
          </cell>
          <cell r="F81">
            <v>0</v>
          </cell>
        </row>
        <row r="82">
          <cell r="B82" t="str">
            <v>Sully</v>
          </cell>
          <cell r="F82">
            <v>88765.89175422251</v>
          </cell>
        </row>
        <row r="83">
          <cell r="B83" t="str">
            <v>LVS Inc, Czech Republic</v>
          </cell>
          <cell r="F83">
            <v>1053689.3476619211</v>
          </cell>
        </row>
        <row r="84">
          <cell r="B84" t="str">
            <v>Meritor LVS Liberec A.S.</v>
          </cell>
          <cell r="F84">
            <v>503599.9245852849</v>
          </cell>
        </row>
        <row r="85">
          <cell r="B85" t="str">
            <v>Esson Door Motor</v>
          </cell>
          <cell r="F85">
            <v>21871.969976015276</v>
          </cell>
        </row>
        <row r="86">
          <cell r="B86" t="str">
            <v>LVS Inc, Spain</v>
          </cell>
          <cell r="F86">
            <v>25564.321578471197</v>
          </cell>
        </row>
        <row r="87">
          <cell r="B87" t="str">
            <v>Barcelona Door</v>
          </cell>
          <cell r="F87">
            <v>22805.882688857782</v>
          </cell>
        </row>
        <row r="88">
          <cell r="B88" t="str">
            <v>LVS Inc. France</v>
          </cell>
          <cell r="F88">
            <v>20632.593739942557</v>
          </cell>
        </row>
        <row r="89">
          <cell r="B89" t="str">
            <v>St. Die</v>
          </cell>
          <cell r="F89">
            <v>91479.54115855087</v>
          </cell>
        </row>
        <row r="90">
          <cell r="B90" t="str">
            <v>LVS Inc., U.K.</v>
          </cell>
          <cell r="F90">
            <v>3545.4160368185821</v>
          </cell>
        </row>
        <row r="91">
          <cell r="B91" t="str">
            <v>Birmingham Access Control</v>
          </cell>
          <cell r="F91">
            <v>20869.317177126028</v>
          </cell>
        </row>
        <row r="92">
          <cell r="B92" t="str">
            <v>Gordonsville Door W.R.</v>
          </cell>
          <cell r="F92">
            <v>74602.198637538677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olume &amp; Sales $"/>
      <sheetName val="std cost detail"/>
      <sheetName val="Dept Totals"/>
      <sheetName val="Std Entriy"/>
      <sheetName val="Headcounts"/>
      <sheetName val="Income Statement - Total Marion"/>
      <sheetName val="Income Statement - Doors"/>
      <sheetName val="Income Statement - MCS"/>
      <sheetName val="ZBE Burden Breakdown"/>
      <sheetName val="deprec"/>
      <sheetName val="Material Variances"/>
      <sheetName val="mfg scrap "/>
      <sheetName val="snapshot"/>
      <sheetName val="Changes after May 25"/>
      <sheetName val="BL File"/>
      <sheetName val="BudgetLoad"/>
      <sheetName val="Mfg Questions"/>
      <sheetName val="Mfg Doors"/>
      <sheetName val="tieout"/>
      <sheetName val="payroll taxes"/>
      <sheetName val="7501 - P221"/>
      <sheetName val="7515 - P131"/>
      <sheetName val="7545 - MVan"/>
      <sheetName val="7530 - Ranger"/>
      <sheetName val="7550 - KJ"/>
      <sheetName val="7560 - NGM"/>
      <sheetName val="Warranty Expenses"/>
      <sheetName val="7590 - PassThru"/>
      <sheetName val="Sal &amp; Wage Info"/>
      <sheetName val="Fringe"/>
      <sheetName val="other fixed costs"/>
      <sheetName val="Mfg Support Doors"/>
      <sheetName val="Admin Doors"/>
      <sheetName val="Depr - Split"/>
      <sheetName val="Allocations"/>
      <sheetName val="Questions - Support"/>
      <sheetName val="Summary by Department"/>
      <sheetName val="7570"/>
      <sheetName val="7571"/>
      <sheetName val="7572"/>
      <sheetName val="7573"/>
      <sheetName val="7574"/>
      <sheetName val="7575"/>
      <sheetName val="7578"/>
      <sheetName val="7580"/>
      <sheetName val="7581"/>
      <sheetName val="7610"/>
      <sheetName val="7620"/>
      <sheetName val="Doors Summa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>
        <row r="26">
          <cell r="F26">
            <v>9.9611111111111104</v>
          </cell>
        </row>
        <row r="27">
          <cell r="F27">
            <v>12.26</v>
          </cell>
        </row>
        <row r="28">
          <cell r="F28">
            <v>10.525</v>
          </cell>
        </row>
        <row r="30">
          <cell r="F30">
            <v>10.766666666666666</v>
          </cell>
        </row>
        <row r="32">
          <cell r="F32">
            <v>10.508461538461539</v>
          </cell>
        </row>
        <row r="33">
          <cell r="F33">
            <v>13.42</v>
          </cell>
        </row>
        <row r="34">
          <cell r="F34">
            <v>10.046111111111111</v>
          </cell>
        </row>
        <row r="36">
          <cell r="F36">
            <v>17.5</v>
          </cell>
        </row>
        <row r="42">
          <cell r="F42">
            <v>10.77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host"/>
      <sheetName val="ResumeAct."/>
      <sheetName val="Activities"/>
      <sheetName val="Category"/>
      <sheetName val="Ph0"/>
      <sheetName val="Ph1"/>
      <sheetName val="Ph2"/>
      <sheetName val="Ph3"/>
      <sheetName val="Ph4"/>
      <sheetName val="Ph5"/>
      <sheetName val="GRPh0"/>
      <sheetName val="GRPh1"/>
      <sheetName val="GRPh2"/>
      <sheetName val="GRPh3"/>
      <sheetName val="GRPh4"/>
      <sheetName val="GRPh5"/>
      <sheetName val="C2C 3.0 Required Documents"/>
      <sheetName val="GR sign Off"/>
    </sheetNames>
    <sheetDataSet>
      <sheetData sheetId="0" refreshError="1"/>
      <sheetData sheetId="1" refreshError="1"/>
      <sheetData sheetId="2" refreshError="1"/>
      <sheetData sheetId="3" refreshError="1">
        <row r="1">
          <cell r="F1" t="str">
            <v>A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host"/>
      <sheetName val="ResumeAct."/>
      <sheetName val="Activities"/>
      <sheetName val="Category"/>
      <sheetName val="Ph0"/>
      <sheetName val="Ph1"/>
      <sheetName val="Ph2"/>
      <sheetName val="Ph3"/>
      <sheetName val="Ph4"/>
      <sheetName val="Ph5"/>
      <sheetName val="GRPh0"/>
      <sheetName val="GRPh1"/>
      <sheetName val="GRPh2"/>
      <sheetName val="GRPh3"/>
      <sheetName val="GRPh4"/>
      <sheetName val="GRPh5"/>
      <sheetName val="C2C 3.0 Required Documents"/>
      <sheetName val="GR sign Off"/>
      <sheetName val="GR 3 sign Off"/>
    </sheetNames>
    <sheetDataSet>
      <sheetData sheetId="0" refreshError="1">
        <row r="12">
          <cell r="B12">
            <v>1</v>
          </cell>
          <cell r="C12">
            <v>1999</v>
          </cell>
        </row>
        <row r="13">
          <cell r="B13">
            <v>2</v>
          </cell>
          <cell r="C13">
            <v>2000</v>
          </cell>
        </row>
        <row r="14">
          <cell r="B14">
            <v>3</v>
          </cell>
          <cell r="C14">
            <v>2001</v>
          </cell>
        </row>
        <row r="15">
          <cell r="B15">
            <v>4</v>
          </cell>
          <cell r="C15">
            <v>2002</v>
          </cell>
        </row>
        <row r="16">
          <cell r="B16">
            <v>5</v>
          </cell>
          <cell r="C16">
            <v>2003</v>
          </cell>
        </row>
        <row r="17">
          <cell r="B17">
            <v>6</v>
          </cell>
          <cell r="C17">
            <v>2004</v>
          </cell>
        </row>
        <row r="18">
          <cell r="B18">
            <v>7</v>
          </cell>
          <cell r="C18">
            <v>2005</v>
          </cell>
        </row>
        <row r="19">
          <cell r="B19">
            <v>8</v>
          </cell>
          <cell r="C19">
            <v>2006</v>
          </cell>
        </row>
        <row r="20">
          <cell r="B20">
            <v>9</v>
          </cell>
          <cell r="C20">
            <v>2007</v>
          </cell>
        </row>
        <row r="21">
          <cell r="B21">
            <v>10</v>
          </cell>
          <cell r="C21">
            <v>2008</v>
          </cell>
        </row>
        <row r="22">
          <cell r="B22">
            <v>11</v>
          </cell>
          <cell r="C22">
            <v>2009</v>
          </cell>
        </row>
        <row r="23">
          <cell r="B23">
            <v>12</v>
          </cell>
          <cell r="C23">
            <v>2010</v>
          </cell>
        </row>
        <row r="24">
          <cell r="B24">
            <v>13</v>
          </cell>
          <cell r="C24">
            <v>2011</v>
          </cell>
        </row>
        <row r="25">
          <cell r="B25">
            <v>14</v>
          </cell>
          <cell r="C25">
            <v>2012</v>
          </cell>
        </row>
        <row r="26">
          <cell r="B26">
            <v>15</v>
          </cell>
          <cell r="C26">
            <v>2013</v>
          </cell>
        </row>
        <row r="27">
          <cell r="B27">
            <v>16</v>
          </cell>
          <cell r="C27">
            <v>2014</v>
          </cell>
        </row>
        <row r="28">
          <cell r="B28">
            <v>17</v>
          </cell>
          <cell r="C28">
            <v>2015</v>
          </cell>
        </row>
        <row r="29">
          <cell r="B29">
            <v>18</v>
          </cell>
          <cell r="C29">
            <v>2016</v>
          </cell>
        </row>
        <row r="30">
          <cell r="B30">
            <v>19</v>
          </cell>
          <cell r="C30">
            <v>2017</v>
          </cell>
        </row>
        <row r="31">
          <cell r="B31">
            <v>20</v>
          </cell>
          <cell r="C31">
            <v>2018</v>
          </cell>
        </row>
        <row r="32">
          <cell r="B32">
            <v>21</v>
          </cell>
          <cell r="C32">
            <v>2019</v>
          </cell>
        </row>
        <row r="33">
          <cell r="B33">
            <v>22</v>
          </cell>
          <cell r="C33">
            <v>2020</v>
          </cell>
        </row>
        <row r="34">
          <cell r="B34">
            <v>23</v>
          </cell>
          <cell r="C34">
            <v>2021</v>
          </cell>
        </row>
        <row r="35">
          <cell r="B35">
            <v>24</v>
          </cell>
          <cell r="C35">
            <v>2022</v>
          </cell>
        </row>
        <row r="36">
          <cell r="B36">
            <v>25</v>
          </cell>
          <cell r="C36">
            <v>2023</v>
          </cell>
        </row>
        <row r="37">
          <cell r="B37">
            <v>26</v>
          </cell>
          <cell r="C37">
            <v>2024</v>
          </cell>
        </row>
        <row r="38">
          <cell r="B38">
            <v>27</v>
          </cell>
          <cell r="C38">
            <v>2025</v>
          </cell>
        </row>
        <row r="39">
          <cell r="B39">
            <v>28</v>
          </cell>
          <cell r="C39">
            <v>2026</v>
          </cell>
        </row>
        <row r="40">
          <cell r="B40">
            <v>29</v>
          </cell>
          <cell r="C40">
            <v>2027</v>
          </cell>
        </row>
        <row r="41">
          <cell r="B41">
            <v>30</v>
          </cell>
          <cell r="C41">
            <v>2028</v>
          </cell>
        </row>
        <row r="42">
          <cell r="B42">
            <v>31</v>
          </cell>
          <cell r="C42">
            <v>2029</v>
          </cell>
        </row>
        <row r="43">
          <cell r="C43">
            <v>2030</v>
          </cell>
        </row>
        <row r="44">
          <cell r="C44">
            <v>2031</v>
          </cell>
        </row>
        <row r="45">
          <cell r="C45">
            <v>2032</v>
          </cell>
        </row>
        <row r="46">
          <cell r="C46">
            <v>2033</v>
          </cell>
        </row>
        <row r="47">
          <cell r="C47">
            <v>2034</v>
          </cell>
        </row>
        <row r="48">
          <cell r="C48">
            <v>2035</v>
          </cell>
        </row>
        <row r="49">
          <cell r="C49">
            <v>2036</v>
          </cell>
        </row>
        <row r="50">
          <cell r="C50">
            <v>2037</v>
          </cell>
        </row>
        <row r="51">
          <cell r="C51">
            <v>2038</v>
          </cell>
        </row>
        <row r="52">
          <cell r="C52">
            <v>2039</v>
          </cell>
        </row>
      </sheetData>
      <sheetData sheetId="1" refreshError="1">
        <row r="11">
          <cell r="A11">
            <v>0</v>
          </cell>
          <cell r="B11" t="str">
            <v>tete</v>
          </cell>
          <cell r="C11" t="str">
            <v/>
          </cell>
          <cell r="E11" t="str">
            <v>PHASE 0:  PROJECT PROPOSAL AUTHORIZATION</v>
          </cell>
          <cell r="G11">
            <v>1</v>
          </cell>
          <cell r="H11">
            <v>1</v>
          </cell>
          <cell r="I11">
            <v>1</v>
          </cell>
          <cell r="L11">
            <v>1</v>
          </cell>
          <cell r="P11" t="str">
            <v/>
          </cell>
          <cell r="Q11" t="str">
            <v/>
          </cell>
          <cell r="R11" t="str">
            <v/>
          </cell>
          <cell r="S11" t="str">
            <v/>
          </cell>
          <cell r="T11" t="str">
            <v>R</v>
          </cell>
          <cell r="U11" t="str">
            <v>R</v>
          </cell>
          <cell r="V11" t="str">
            <v>R</v>
          </cell>
          <cell r="W11" t="str">
            <v>R</v>
          </cell>
          <cell r="Y11">
            <v>1</v>
          </cell>
        </row>
        <row r="12">
          <cell r="A12" t="str">
            <v>0</v>
          </cell>
          <cell r="B12" t="str">
            <v>00</v>
          </cell>
          <cell r="C12" t="str">
            <v/>
          </cell>
          <cell r="E12" t="str">
            <v>0.00 Voice of the Customer (APQP 1.1)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 t="str">
            <v/>
          </cell>
          <cell r="P12" t="str">
            <v/>
          </cell>
          <cell r="Q12" t="str">
            <v/>
          </cell>
          <cell r="R12" t="str">
            <v/>
          </cell>
          <cell r="S12" t="str">
            <v/>
          </cell>
          <cell r="T12" t="str">
            <v>R</v>
          </cell>
          <cell r="U12" t="str">
            <v/>
          </cell>
          <cell r="V12" t="str">
            <v/>
          </cell>
          <cell r="W12" t="str">
            <v/>
          </cell>
          <cell r="X12">
            <v>100</v>
          </cell>
          <cell r="Y12">
            <v>1</v>
          </cell>
        </row>
        <row r="13">
          <cell r="A13" t="str">
            <v>0</v>
          </cell>
          <cell r="B13" t="str">
            <v>00</v>
          </cell>
          <cell r="C13" t="str">
            <v>01</v>
          </cell>
          <cell r="E13" t="str">
            <v xml:space="preserve">0.00.01  Perform Market Research 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>L</v>
          </cell>
          <cell r="M13" t="str">
            <v/>
          </cell>
          <cell r="N13" t="str">
            <v/>
          </cell>
          <cell r="O13" t="str">
            <v/>
          </cell>
          <cell r="P13" t="str">
            <v/>
          </cell>
          <cell r="Q13" t="str">
            <v/>
          </cell>
          <cell r="R13" t="str">
            <v/>
          </cell>
          <cell r="S13" t="str">
            <v/>
          </cell>
          <cell r="T13" t="str">
            <v>R</v>
          </cell>
          <cell r="U13" t="str">
            <v/>
          </cell>
          <cell r="V13" t="str">
            <v/>
          </cell>
          <cell r="W13" t="str">
            <v/>
          </cell>
          <cell r="X13">
            <v>100</v>
          </cell>
        </row>
        <row r="14">
          <cell r="A14" t="str">
            <v>0</v>
          </cell>
          <cell r="B14" t="str">
            <v>00</v>
          </cell>
          <cell r="C14" t="str">
            <v>02</v>
          </cell>
          <cell r="E14" t="str">
            <v>0.00.02  Identify Customer Needs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>L</v>
          </cell>
          <cell r="M14" t="str">
            <v/>
          </cell>
          <cell r="N14" t="str">
            <v/>
          </cell>
          <cell r="O14" t="str">
            <v/>
          </cell>
          <cell r="P14" t="str">
            <v/>
          </cell>
          <cell r="Q14" t="str">
            <v/>
          </cell>
          <cell r="R14" t="str">
            <v/>
          </cell>
          <cell r="S14" t="str">
            <v/>
          </cell>
          <cell r="T14" t="str">
            <v>R</v>
          </cell>
          <cell r="U14" t="str">
            <v/>
          </cell>
          <cell r="V14" t="str">
            <v/>
          </cell>
          <cell r="W14" t="str">
            <v/>
          </cell>
          <cell r="X14">
            <v>100</v>
          </cell>
        </row>
        <row r="15">
          <cell r="A15" t="str">
            <v>0</v>
          </cell>
          <cell r="B15" t="str">
            <v>01</v>
          </cell>
          <cell r="C15" t="str">
            <v/>
          </cell>
          <cell r="E15" t="str">
            <v>0.01 Business Plan / Market Strategy  (APQP 1.2)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 t="str">
            <v/>
          </cell>
          <cell r="P15" t="str">
            <v/>
          </cell>
          <cell r="Q15" t="str">
            <v/>
          </cell>
          <cell r="R15" t="str">
            <v/>
          </cell>
          <cell r="S15" t="str">
            <v/>
          </cell>
          <cell r="T15" t="str">
            <v>R</v>
          </cell>
          <cell r="U15" t="str">
            <v/>
          </cell>
          <cell r="V15" t="str">
            <v/>
          </cell>
          <cell r="W15" t="str">
            <v/>
          </cell>
          <cell r="X15">
            <v>100</v>
          </cell>
          <cell r="Y15">
            <v>1</v>
          </cell>
        </row>
        <row r="16">
          <cell r="A16" t="str">
            <v>0</v>
          </cell>
          <cell r="B16" t="str">
            <v>01</v>
          </cell>
          <cell r="C16" t="str">
            <v>01</v>
          </cell>
          <cell r="E16" t="str">
            <v>0.01.01 Review Product Marketing  Strategy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>L</v>
          </cell>
          <cell r="M16" t="str">
            <v/>
          </cell>
          <cell r="N16" t="str">
            <v/>
          </cell>
          <cell r="O16" t="str">
            <v/>
          </cell>
          <cell r="P16" t="str">
            <v/>
          </cell>
          <cell r="Q16" t="str">
            <v/>
          </cell>
          <cell r="R16" t="str">
            <v/>
          </cell>
          <cell r="S16" t="str">
            <v/>
          </cell>
          <cell r="T16" t="str">
            <v>R</v>
          </cell>
          <cell r="U16" t="str">
            <v>R</v>
          </cell>
          <cell r="V16" t="str">
            <v>R</v>
          </cell>
          <cell r="W16" t="str">
            <v>R</v>
          </cell>
          <cell r="X16">
            <v>100</v>
          </cell>
        </row>
        <row r="17">
          <cell r="A17" t="str">
            <v>0</v>
          </cell>
          <cell r="B17" t="str">
            <v>01</v>
          </cell>
          <cell r="C17" t="str">
            <v>02</v>
          </cell>
          <cell r="E17" t="str">
            <v>0.01.02  Assess Project Fit to the Strategic Business Plan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>L</v>
          </cell>
          <cell r="M17" t="str">
            <v/>
          </cell>
          <cell r="N17" t="str">
            <v/>
          </cell>
          <cell r="O17" t="str">
            <v/>
          </cell>
          <cell r="P17" t="str">
            <v/>
          </cell>
          <cell r="Q17" t="str">
            <v/>
          </cell>
          <cell r="R17" t="str">
            <v/>
          </cell>
          <cell r="S17" t="str">
            <v/>
          </cell>
          <cell r="T17" t="str">
            <v>R</v>
          </cell>
          <cell r="U17" t="str">
            <v>R</v>
          </cell>
          <cell r="V17" t="str">
            <v>R</v>
          </cell>
          <cell r="W17" t="str">
            <v>R</v>
          </cell>
          <cell r="X17">
            <v>100</v>
          </cell>
        </row>
        <row r="18">
          <cell r="A18" t="str">
            <v>0</v>
          </cell>
          <cell r="B18" t="str">
            <v>02</v>
          </cell>
          <cell r="C18" t="str">
            <v/>
          </cell>
          <cell r="E18" t="str">
            <v>0.02 Product/Process Benchmark Data (APQP 1.3)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  <cell r="P18" t="str">
            <v/>
          </cell>
          <cell r="Q18" t="str">
            <v/>
          </cell>
          <cell r="R18" t="str">
            <v/>
          </cell>
          <cell r="S18" t="str">
            <v/>
          </cell>
          <cell r="T18" t="str">
            <v>R</v>
          </cell>
          <cell r="U18" t="str">
            <v/>
          </cell>
          <cell r="V18" t="str">
            <v/>
          </cell>
          <cell r="W18" t="str">
            <v/>
          </cell>
          <cell r="X18">
            <v>100</v>
          </cell>
          <cell r="Y18">
            <v>1</v>
          </cell>
        </row>
        <row r="19">
          <cell r="A19" t="str">
            <v>0</v>
          </cell>
          <cell r="B19" t="str">
            <v>02</v>
          </cell>
          <cell r="C19" t="str">
            <v>01</v>
          </cell>
          <cell r="E19" t="str">
            <v>0.02.01 Benchmark Products</v>
          </cell>
          <cell r="F19" t="str">
            <v/>
          </cell>
          <cell r="G19" t="str">
            <v/>
          </cell>
          <cell r="H19" t="str">
            <v>L</v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>R</v>
          </cell>
          <cell r="U19" t="str">
            <v/>
          </cell>
          <cell r="V19" t="str">
            <v/>
          </cell>
          <cell r="W19" t="str">
            <v/>
          </cell>
          <cell r="X19">
            <v>100</v>
          </cell>
        </row>
        <row r="20">
          <cell r="A20" t="str">
            <v>0</v>
          </cell>
          <cell r="B20" t="str">
            <v>02</v>
          </cell>
          <cell r="C20" t="str">
            <v>02</v>
          </cell>
          <cell r="E20" t="str">
            <v>0.02.02 Benchmark Process</v>
          </cell>
          <cell r="F20" t="str">
            <v/>
          </cell>
          <cell r="G20" t="str">
            <v/>
          </cell>
          <cell r="H20" t="str">
            <v/>
          </cell>
          <cell r="I20" t="str">
            <v>L</v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>R</v>
          </cell>
          <cell r="U20" t="str">
            <v/>
          </cell>
          <cell r="V20" t="str">
            <v/>
          </cell>
          <cell r="W20" t="str">
            <v/>
          </cell>
          <cell r="X20">
            <v>100</v>
          </cell>
        </row>
        <row r="21">
          <cell r="A21" t="str">
            <v>0</v>
          </cell>
          <cell r="B21" t="str">
            <v>03</v>
          </cell>
          <cell r="C21" t="str">
            <v/>
          </cell>
          <cell r="E21" t="str">
            <v>0.03 Product/Process Assumptions (APQP 1.4)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>R</v>
          </cell>
          <cell r="Q21" t="str">
            <v>R</v>
          </cell>
          <cell r="R21" t="str">
            <v/>
          </cell>
          <cell r="S21" t="str">
            <v/>
          </cell>
          <cell r="T21" t="str">
            <v>R</v>
          </cell>
          <cell r="U21" t="str">
            <v>R</v>
          </cell>
          <cell r="V21" t="str">
            <v>R</v>
          </cell>
          <cell r="W21" t="str">
            <v>R</v>
          </cell>
          <cell r="X21">
            <v>100</v>
          </cell>
          <cell r="Y21">
            <v>1</v>
          </cell>
        </row>
        <row r="22">
          <cell r="A22" t="str">
            <v>0</v>
          </cell>
          <cell r="B22" t="str">
            <v>03</v>
          </cell>
          <cell r="C22" t="str">
            <v>01</v>
          </cell>
          <cell r="E22" t="str">
            <v>0.03.01  Develop Product Assumptions and Target Prices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>L</v>
          </cell>
          <cell r="M22" t="str">
            <v/>
          </cell>
          <cell r="N22" t="str">
            <v/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>R</v>
          </cell>
          <cell r="U22" t="str">
            <v/>
          </cell>
          <cell r="V22" t="str">
            <v/>
          </cell>
          <cell r="W22" t="str">
            <v/>
          </cell>
          <cell r="X22">
            <v>100</v>
          </cell>
        </row>
        <row r="23">
          <cell r="A23" t="str">
            <v>0</v>
          </cell>
          <cell r="B23" t="str">
            <v>03</v>
          </cell>
          <cell r="C23" t="str">
            <v>02</v>
          </cell>
          <cell r="E23" t="str">
            <v>0.03.02  Identify Vehicle Environment and Usage Assumptions</v>
          </cell>
          <cell r="F23" t="str">
            <v/>
          </cell>
          <cell r="G23" t="str">
            <v/>
          </cell>
          <cell r="H23" t="str">
            <v>L</v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>R</v>
          </cell>
          <cell r="U23" t="str">
            <v/>
          </cell>
          <cell r="V23" t="str">
            <v/>
          </cell>
          <cell r="W23" t="str">
            <v/>
          </cell>
          <cell r="X23">
            <v>100</v>
          </cell>
        </row>
        <row r="24">
          <cell r="A24" t="str">
            <v>0</v>
          </cell>
          <cell r="B24" t="str">
            <v>03</v>
          </cell>
          <cell r="C24" t="str">
            <v>03</v>
          </cell>
          <cell r="E24" t="str">
            <v>0.03.03  Identify Applicable Government Safety Regulations</v>
          </cell>
          <cell r="F24" t="str">
            <v/>
          </cell>
          <cell r="G24" t="str">
            <v/>
          </cell>
          <cell r="H24" t="str">
            <v>L</v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>R</v>
          </cell>
          <cell r="U24" t="str">
            <v/>
          </cell>
          <cell r="V24" t="str">
            <v/>
          </cell>
          <cell r="W24" t="str">
            <v/>
          </cell>
          <cell r="X24">
            <v>100</v>
          </cell>
        </row>
        <row r="25">
          <cell r="A25" t="str">
            <v>0</v>
          </cell>
          <cell r="B25" t="str">
            <v>03</v>
          </cell>
          <cell r="C25" t="str">
            <v>04</v>
          </cell>
          <cell r="E25" t="str">
            <v>0.03.04  Review Process Technology Options</v>
          </cell>
          <cell r="F25" t="str">
            <v/>
          </cell>
          <cell r="G25" t="str">
            <v/>
          </cell>
          <cell r="H25" t="str">
            <v/>
          </cell>
          <cell r="I25" t="str">
            <v>L</v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>R</v>
          </cell>
          <cell r="U25" t="str">
            <v/>
          </cell>
          <cell r="V25" t="str">
            <v/>
          </cell>
          <cell r="W25" t="str">
            <v/>
          </cell>
          <cell r="X25">
            <v>100</v>
          </cell>
        </row>
        <row r="26">
          <cell r="A26" t="str">
            <v>0</v>
          </cell>
          <cell r="B26" t="str">
            <v>03</v>
          </cell>
          <cell r="C26" t="str">
            <v>05</v>
          </cell>
          <cell r="E26" t="str">
            <v>0.03.05  Identify Target Manufacturing Locations &amp; Assumptions</v>
          </cell>
          <cell r="F26" t="str">
            <v/>
          </cell>
          <cell r="G26" t="str">
            <v/>
          </cell>
          <cell r="H26" t="str">
            <v/>
          </cell>
          <cell r="I26" t="str">
            <v>L</v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 t="str">
            <v>R</v>
          </cell>
          <cell r="U26" t="str">
            <v/>
          </cell>
          <cell r="V26" t="str">
            <v/>
          </cell>
          <cell r="W26" t="str">
            <v/>
          </cell>
          <cell r="X26">
            <v>100</v>
          </cell>
        </row>
        <row r="27">
          <cell r="A27" t="str">
            <v>0</v>
          </cell>
          <cell r="B27" t="str">
            <v>03</v>
          </cell>
          <cell r="C27" t="str">
            <v>06</v>
          </cell>
          <cell r="E27" t="str">
            <v>0.03.06  Identify Lead Plant</v>
          </cell>
          <cell r="F27" t="str">
            <v/>
          </cell>
          <cell r="G27" t="str">
            <v/>
          </cell>
          <cell r="H27" t="str">
            <v/>
          </cell>
          <cell r="I27" t="str">
            <v>L</v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 t="str">
            <v/>
          </cell>
          <cell r="P27" t="str">
            <v/>
          </cell>
          <cell r="Q27" t="str">
            <v/>
          </cell>
          <cell r="R27" t="str">
            <v/>
          </cell>
          <cell r="S27" t="str">
            <v/>
          </cell>
          <cell r="T27" t="str">
            <v>R</v>
          </cell>
          <cell r="U27" t="str">
            <v/>
          </cell>
          <cell r="V27" t="str">
            <v/>
          </cell>
          <cell r="W27" t="str">
            <v/>
          </cell>
          <cell r="X27">
            <v>100</v>
          </cell>
        </row>
        <row r="28">
          <cell r="A28" t="str">
            <v>0</v>
          </cell>
          <cell r="B28" t="str">
            <v>03</v>
          </cell>
          <cell r="C28" t="str">
            <v>07</v>
          </cell>
          <cell r="E28" t="str">
            <v>0.03.07  Estimate Product Manufacturing Costs</v>
          </cell>
          <cell r="F28" t="str">
            <v/>
          </cell>
          <cell r="G28" t="str">
            <v/>
          </cell>
          <cell r="H28" t="str">
            <v/>
          </cell>
          <cell r="I28" t="str">
            <v>L</v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 t="str">
            <v/>
          </cell>
          <cell r="P28" t="str">
            <v/>
          </cell>
          <cell r="Q28" t="str">
            <v/>
          </cell>
          <cell r="R28" t="str">
            <v/>
          </cell>
          <cell r="S28" t="str">
            <v/>
          </cell>
          <cell r="T28" t="str">
            <v>R</v>
          </cell>
          <cell r="U28" t="str">
            <v/>
          </cell>
          <cell r="V28" t="str">
            <v/>
          </cell>
          <cell r="W28" t="str">
            <v/>
          </cell>
          <cell r="X28">
            <v>100</v>
          </cell>
        </row>
        <row r="29">
          <cell r="A29" t="str">
            <v>0</v>
          </cell>
          <cell r="B29" t="str">
            <v>03</v>
          </cell>
          <cell r="C29" t="str">
            <v>08</v>
          </cell>
          <cell r="E29" t="str">
            <v>0.03.08  Develop Initial Product Performance Requirements</v>
          </cell>
          <cell r="F29" t="str">
            <v/>
          </cell>
          <cell r="G29" t="str">
            <v>L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 t="str">
            <v/>
          </cell>
          <cell r="P29" t="str">
            <v>R</v>
          </cell>
          <cell r="Q29" t="str">
            <v>R</v>
          </cell>
          <cell r="R29" t="str">
            <v/>
          </cell>
          <cell r="S29" t="str">
            <v/>
          </cell>
          <cell r="T29" t="str">
            <v>R</v>
          </cell>
          <cell r="U29" t="str">
            <v>R</v>
          </cell>
          <cell r="V29" t="str">
            <v/>
          </cell>
          <cell r="W29" t="str">
            <v/>
          </cell>
          <cell r="X29">
            <v>100</v>
          </cell>
        </row>
        <row r="30">
          <cell r="A30" t="str">
            <v>0</v>
          </cell>
          <cell r="B30" t="str">
            <v>04</v>
          </cell>
          <cell r="C30" t="str">
            <v/>
          </cell>
          <cell r="E30" t="str">
            <v>0.04 Product Reliability Studies (APQP 1.5)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 t="str">
            <v/>
          </cell>
          <cell r="P30" t="str">
            <v>R</v>
          </cell>
          <cell r="Q30" t="str">
            <v>R</v>
          </cell>
          <cell r="R30" t="str">
            <v/>
          </cell>
          <cell r="S30" t="str">
            <v/>
          </cell>
          <cell r="T30" t="str">
            <v>R</v>
          </cell>
          <cell r="U30" t="str">
            <v>R</v>
          </cell>
          <cell r="V30" t="str">
            <v/>
          </cell>
          <cell r="W30" t="str">
            <v/>
          </cell>
          <cell r="X30">
            <v>100</v>
          </cell>
          <cell r="Y30">
            <v>1</v>
          </cell>
        </row>
        <row r="31">
          <cell r="A31" t="str">
            <v>0</v>
          </cell>
          <cell r="B31" t="str">
            <v>04</v>
          </cell>
          <cell r="C31" t="str">
            <v>01</v>
          </cell>
          <cell r="E31" t="str">
            <v>0.04.01  Perform Historical Review</v>
          </cell>
          <cell r="F31" t="str">
            <v/>
          </cell>
          <cell r="G31" t="str">
            <v>L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 t="str">
            <v/>
          </cell>
          <cell r="P31" t="str">
            <v>R</v>
          </cell>
          <cell r="Q31" t="str">
            <v>R</v>
          </cell>
          <cell r="R31" t="str">
            <v/>
          </cell>
          <cell r="S31" t="str">
            <v/>
          </cell>
          <cell r="T31" t="str">
            <v>R</v>
          </cell>
          <cell r="U31" t="str">
            <v>R</v>
          </cell>
          <cell r="V31" t="str">
            <v/>
          </cell>
          <cell r="W31" t="str">
            <v/>
          </cell>
          <cell r="X31">
            <v>100</v>
          </cell>
        </row>
        <row r="32">
          <cell r="A32" t="str">
            <v>0</v>
          </cell>
          <cell r="B32" t="str">
            <v>05</v>
          </cell>
          <cell r="C32" t="str">
            <v/>
          </cell>
          <cell r="E32" t="str">
            <v>0.05 Project Charter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 t="str">
            <v>R</v>
          </cell>
          <cell r="Q32" t="str">
            <v>R</v>
          </cell>
          <cell r="R32" t="str">
            <v>R</v>
          </cell>
          <cell r="S32" t="str">
            <v/>
          </cell>
          <cell r="T32" t="str">
            <v>R</v>
          </cell>
          <cell r="U32" t="str">
            <v>R</v>
          </cell>
          <cell r="V32" t="str">
            <v>R</v>
          </cell>
          <cell r="W32" t="str">
            <v/>
          </cell>
          <cell r="X32">
            <v>100</v>
          </cell>
          <cell r="Y32">
            <v>1</v>
          </cell>
        </row>
        <row r="33">
          <cell r="A33" t="str">
            <v>0</v>
          </cell>
          <cell r="B33" t="str">
            <v>05</v>
          </cell>
          <cell r="C33" t="str">
            <v>01</v>
          </cell>
          <cell r="E33" t="str">
            <v>0.05.01   Define Initial Project Scope</v>
          </cell>
          <cell r="F33" t="str">
            <v/>
          </cell>
          <cell r="G33" t="str">
            <v>L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 t="str">
            <v/>
          </cell>
          <cell r="P33" t="str">
            <v/>
          </cell>
          <cell r="Q33" t="str">
            <v/>
          </cell>
          <cell r="R33" t="str">
            <v/>
          </cell>
          <cell r="S33" t="str">
            <v/>
          </cell>
          <cell r="T33" t="str">
            <v>R</v>
          </cell>
          <cell r="U33" t="str">
            <v/>
          </cell>
          <cell r="V33" t="str">
            <v/>
          </cell>
          <cell r="W33" t="str">
            <v/>
          </cell>
          <cell r="X33">
            <v>100</v>
          </cell>
        </row>
        <row r="34">
          <cell r="A34" t="str">
            <v>0</v>
          </cell>
          <cell r="B34" t="str">
            <v>05</v>
          </cell>
          <cell r="C34" t="str">
            <v>02</v>
          </cell>
          <cell r="E34" t="str">
            <v>0.05.02 Recommend Project Sponsor</v>
          </cell>
          <cell r="F34" t="str">
            <v/>
          </cell>
          <cell r="G34" t="str">
            <v>L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 t="str">
            <v/>
          </cell>
          <cell r="P34" t="str">
            <v/>
          </cell>
          <cell r="Q34" t="str">
            <v/>
          </cell>
          <cell r="R34" t="str">
            <v/>
          </cell>
          <cell r="S34" t="str">
            <v/>
          </cell>
          <cell r="T34" t="str">
            <v>R</v>
          </cell>
          <cell r="U34" t="str">
            <v/>
          </cell>
          <cell r="V34" t="str">
            <v/>
          </cell>
          <cell r="W34" t="str">
            <v/>
          </cell>
          <cell r="X34">
            <v>100</v>
          </cell>
        </row>
        <row r="35">
          <cell r="A35" t="str">
            <v>0</v>
          </cell>
          <cell r="B35" t="str">
            <v>05</v>
          </cell>
          <cell r="C35" t="str">
            <v>03</v>
          </cell>
          <cell r="E35" t="str">
            <v>0.05.03  Estimate Project Costs</v>
          </cell>
          <cell r="F35" t="str">
            <v/>
          </cell>
          <cell r="G35" t="str">
            <v>L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 t="str">
            <v/>
          </cell>
          <cell r="P35" t="str">
            <v/>
          </cell>
          <cell r="Q35" t="str">
            <v/>
          </cell>
          <cell r="R35" t="str">
            <v/>
          </cell>
          <cell r="S35" t="str">
            <v/>
          </cell>
          <cell r="T35" t="str">
            <v>R</v>
          </cell>
          <cell r="U35" t="str">
            <v/>
          </cell>
          <cell r="V35" t="str">
            <v/>
          </cell>
          <cell r="W35" t="str">
            <v/>
          </cell>
          <cell r="X35">
            <v>100</v>
          </cell>
        </row>
        <row r="36">
          <cell r="A36" t="str">
            <v>0</v>
          </cell>
          <cell r="B36" t="str">
            <v>05</v>
          </cell>
          <cell r="C36" t="str">
            <v>04</v>
          </cell>
          <cell r="E36" t="str">
            <v>0.05.04  Establish Project Change Control Process</v>
          </cell>
          <cell r="F36" t="str">
            <v/>
          </cell>
          <cell r="G36" t="str">
            <v>L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  <cell r="T36" t="str">
            <v>R</v>
          </cell>
          <cell r="U36" t="str">
            <v/>
          </cell>
          <cell r="V36" t="str">
            <v/>
          </cell>
          <cell r="W36" t="str">
            <v/>
          </cell>
          <cell r="X36">
            <v>100</v>
          </cell>
        </row>
        <row r="37">
          <cell r="A37" t="str">
            <v>0</v>
          </cell>
          <cell r="B37" t="str">
            <v>05</v>
          </cell>
          <cell r="C37" t="str">
            <v>05</v>
          </cell>
          <cell r="E37" t="str">
            <v>0.05.05  Determine Project Category</v>
          </cell>
          <cell r="F37" t="str">
            <v/>
          </cell>
          <cell r="G37" t="str">
            <v>L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>R</v>
          </cell>
          <cell r="Q37" t="str">
            <v>R</v>
          </cell>
          <cell r="R37" t="str">
            <v>R</v>
          </cell>
          <cell r="S37" t="str">
            <v/>
          </cell>
          <cell r="T37" t="str">
            <v>R</v>
          </cell>
          <cell r="U37" t="str">
            <v>R</v>
          </cell>
          <cell r="V37" t="str">
            <v>R</v>
          </cell>
          <cell r="W37" t="str">
            <v/>
          </cell>
          <cell r="X37">
            <v>100</v>
          </cell>
        </row>
        <row r="38">
          <cell r="A38" t="str">
            <v>0</v>
          </cell>
          <cell r="B38" t="str">
            <v>05</v>
          </cell>
          <cell r="C38" t="str">
            <v>06</v>
          </cell>
          <cell r="E38" t="str">
            <v>0.05.06 Develop Initial Return Map</v>
          </cell>
          <cell r="F38" t="str">
            <v/>
          </cell>
          <cell r="G38" t="str">
            <v>L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 t="str">
            <v/>
          </cell>
          <cell r="P38" t="str">
            <v>R</v>
          </cell>
          <cell r="Q38" t="str">
            <v>R</v>
          </cell>
          <cell r="R38" t="str">
            <v/>
          </cell>
          <cell r="S38" t="str">
            <v/>
          </cell>
          <cell r="T38" t="str">
            <v>R</v>
          </cell>
          <cell r="U38" t="str">
            <v>R</v>
          </cell>
          <cell r="V38" t="str">
            <v/>
          </cell>
          <cell r="W38" t="str">
            <v/>
          </cell>
          <cell r="X38">
            <v>100</v>
          </cell>
        </row>
        <row r="39">
          <cell r="A39" t="str">
            <v>0</v>
          </cell>
          <cell r="B39" t="str">
            <v>05</v>
          </cell>
          <cell r="C39" t="str">
            <v>07</v>
          </cell>
          <cell r="E39" t="str">
            <v>0.05.07   Develop Project Charter</v>
          </cell>
          <cell r="F39" t="str">
            <v/>
          </cell>
          <cell r="G39" t="str">
            <v>L</v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 t="str">
            <v/>
          </cell>
          <cell r="P39" t="str">
            <v>R</v>
          </cell>
          <cell r="Q39" t="str">
            <v>R</v>
          </cell>
          <cell r="R39" t="str">
            <v/>
          </cell>
          <cell r="S39" t="str">
            <v/>
          </cell>
          <cell r="T39" t="str">
            <v>R</v>
          </cell>
          <cell r="U39" t="str">
            <v>R</v>
          </cell>
          <cell r="V39" t="str">
            <v>R</v>
          </cell>
          <cell r="W39" t="str">
            <v>R</v>
          </cell>
          <cell r="X39">
            <v>100</v>
          </cell>
        </row>
        <row r="40">
          <cell r="A40" t="str">
            <v>0</v>
          </cell>
          <cell r="B40" t="str">
            <v>06</v>
          </cell>
          <cell r="C40" t="str">
            <v/>
          </cell>
          <cell r="E40" t="str">
            <v>0.06 Management Support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 t="str">
            <v/>
          </cell>
          <cell r="P40" t="str">
            <v>R</v>
          </cell>
          <cell r="Q40" t="str">
            <v>R</v>
          </cell>
          <cell r="R40" t="str">
            <v/>
          </cell>
          <cell r="S40" t="str">
            <v/>
          </cell>
          <cell r="T40" t="str">
            <v>R</v>
          </cell>
          <cell r="U40" t="str">
            <v>R</v>
          </cell>
          <cell r="V40" t="str">
            <v>R</v>
          </cell>
          <cell r="W40" t="str">
            <v>R</v>
          </cell>
          <cell r="X40">
            <v>100</v>
          </cell>
          <cell r="Y40">
            <v>1</v>
          </cell>
        </row>
        <row r="41">
          <cell r="A41" t="str">
            <v>0</v>
          </cell>
          <cell r="B41" t="str">
            <v>06</v>
          </cell>
          <cell r="C41" t="str">
            <v>01</v>
          </cell>
          <cell r="E41" t="str">
            <v>0.06.01  Conduct Phase 0 Gate Review</v>
          </cell>
          <cell r="F41" t="str">
            <v/>
          </cell>
          <cell r="G41" t="str">
            <v>L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 t="str">
            <v/>
          </cell>
          <cell r="P41" t="str">
            <v>R</v>
          </cell>
          <cell r="Q41" t="str">
            <v>R</v>
          </cell>
          <cell r="R41" t="str">
            <v/>
          </cell>
          <cell r="S41" t="str">
            <v/>
          </cell>
          <cell r="T41" t="str">
            <v>R</v>
          </cell>
          <cell r="U41" t="str">
            <v>R</v>
          </cell>
          <cell r="V41" t="str">
            <v>R</v>
          </cell>
          <cell r="W41" t="str">
            <v>R</v>
          </cell>
          <cell r="X41">
            <v>100</v>
          </cell>
        </row>
        <row r="42">
          <cell r="A42">
            <v>999</v>
          </cell>
          <cell r="B42">
            <v>999</v>
          </cell>
          <cell r="C42">
            <v>999</v>
          </cell>
          <cell r="E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</row>
        <row r="43">
          <cell r="A43">
            <v>1</v>
          </cell>
          <cell r="B43" t="str">
            <v>tete</v>
          </cell>
          <cell r="C43" t="str">
            <v/>
          </cell>
          <cell r="E43" t="str">
            <v>PHASE 1:  PLAN AND DEFINE PROGRAM</v>
          </cell>
          <cell r="G43">
            <v>1</v>
          </cell>
          <cell r="H43">
            <v>1</v>
          </cell>
          <cell r="I43">
            <v>1</v>
          </cell>
          <cell r="J43">
            <v>1</v>
          </cell>
          <cell r="K43">
            <v>1</v>
          </cell>
          <cell r="L43">
            <v>1</v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  <cell r="T43" t="str">
            <v>R</v>
          </cell>
          <cell r="U43" t="str">
            <v>R</v>
          </cell>
          <cell r="V43" t="str">
            <v>R</v>
          </cell>
          <cell r="W43" t="str">
            <v>R</v>
          </cell>
          <cell r="Y43">
            <v>1</v>
          </cell>
        </row>
        <row r="44">
          <cell r="A44" t="str">
            <v>1</v>
          </cell>
          <cell r="B44" t="str">
            <v>00</v>
          </cell>
          <cell r="C44" t="str">
            <v/>
          </cell>
          <cell r="E44" t="str">
            <v>1.00 Project Planning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  <cell r="P44" t="str">
            <v>R</v>
          </cell>
          <cell r="Q44" t="str">
            <v>R</v>
          </cell>
          <cell r="R44" t="str">
            <v>R</v>
          </cell>
          <cell r="S44" t="str">
            <v/>
          </cell>
          <cell r="T44" t="str">
            <v>R</v>
          </cell>
          <cell r="U44" t="str">
            <v>R</v>
          </cell>
          <cell r="V44" t="str">
            <v>R</v>
          </cell>
          <cell r="W44" t="str">
            <v/>
          </cell>
          <cell r="X44">
            <v>100</v>
          </cell>
          <cell r="Y44">
            <v>1</v>
          </cell>
        </row>
        <row r="45">
          <cell r="A45" t="str">
            <v>1</v>
          </cell>
          <cell r="B45" t="str">
            <v>00</v>
          </cell>
          <cell r="C45" t="str">
            <v>01</v>
          </cell>
          <cell r="E45" t="str">
            <v>1.00.01  Establish Project Team</v>
          </cell>
          <cell r="F45" t="str">
            <v/>
          </cell>
          <cell r="G45" t="str">
            <v>L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  <cell r="P45" t="str">
            <v/>
          </cell>
          <cell r="Q45" t="str">
            <v/>
          </cell>
          <cell r="R45" t="str">
            <v/>
          </cell>
          <cell r="S45" t="str">
            <v/>
          </cell>
          <cell r="T45" t="str">
            <v>R</v>
          </cell>
          <cell r="U45" t="str">
            <v/>
          </cell>
          <cell r="V45" t="str">
            <v/>
          </cell>
          <cell r="W45" t="str">
            <v/>
          </cell>
          <cell r="X45">
            <v>100</v>
          </cell>
        </row>
        <row r="46">
          <cell r="A46" t="str">
            <v>1</v>
          </cell>
          <cell r="B46" t="str">
            <v>00</v>
          </cell>
          <cell r="C46" t="str">
            <v>02</v>
          </cell>
          <cell r="E46" t="str">
            <v>1.00.02  Define Project Team Meeting Requirements &amp; Expectations</v>
          </cell>
          <cell r="F46" t="str">
            <v/>
          </cell>
          <cell r="G46" t="str">
            <v>L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 t="str">
            <v/>
          </cell>
          <cell r="P46" t="str">
            <v/>
          </cell>
          <cell r="Q46" t="str">
            <v/>
          </cell>
          <cell r="R46" t="str">
            <v/>
          </cell>
          <cell r="S46" t="str">
            <v/>
          </cell>
          <cell r="T46" t="str">
            <v>R</v>
          </cell>
          <cell r="U46" t="str">
            <v/>
          </cell>
          <cell r="V46" t="str">
            <v/>
          </cell>
          <cell r="W46" t="str">
            <v/>
          </cell>
          <cell r="X46">
            <v>100</v>
          </cell>
        </row>
        <row r="47">
          <cell r="A47" t="str">
            <v>1</v>
          </cell>
          <cell r="B47" t="str">
            <v>00</v>
          </cell>
          <cell r="C47" t="str">
            <v>03</v>
          </cell>
          <cell r="E47" t="str">
            <v>1.00.03  Define Gate Reviews Requirements &amp; Expectations</v>
          </cell>
          <cell r="F47" t="str">
            <v/>
          </cell>
          <cell r="G47" t="str">
            <v>L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 t="str">
            <v/>
          </cell>
          <cell r="P47" t="str">
            <v/>
          </cell>
          <cell r="Q47" t="str">
            <v/>
          </cell>
          <cell r="R47" t="str">
            <v/>
          </cell>
          <cell r="S47" t="str">
            <v/>
          </cell>
          <cell r="T47" t="str">
            <v>R</v>
          </cell>
          <cell r="U47" t="str">
            <v/>
          </cell>
          <cell r="V47" t="str">
            <v/>
          </cell>
          <cell r="W47" t="str">
            <v/>
          </cell>
          <cell r="X47">
            <v>100</v>
          </cell>
        </row>
        <row r="48">
          <cell r="A48" t="str">
            <v>1</v>
          </cell>
          <cell r="B48" t="str">
            <v>00</v>
          </cell>
          <cell r="C48" t="str">
            <v>04</v>
          </cell>
          <cell r="E48" t="str">
            <v>1.00.04  Define Customer Review Requirements &amp; Expectations</v>
          </cell>
          <cell r="F48" t="str">
            <v/>
          </cell>
          <cell r="G48" t="str">
            <v>L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 t="str">
            <v/>
          </cell>
          <cell r="P48" t="str">
            <v/>
          </cell>
          <cell r="Q48" t="str">
            <v/>
          </cell>
          <cell r="R48" t="str">
            <v/>
          </cell>
          <cell r="S48" t="str">
            <v/>
          </cell>
          <cell r="T48" t="str">
            <v>R</v>
          </cell>
          <cell r="U48" t="str">
            <v/>
          </cell>
          <cell r="V48" t="str">
            <v/>
          </cell>
          <cell r="W48" t="str">
            <v/>
          </cell>
          <cell r="X48">
            <v>100</v>
          </cell>
        </row>
        <row r="49">
          <cell r="A49" t="str">
            <v>1</v>
          </cell>
          <cell r="B49" t="str">
            <v>00</v>
          </cell>
          <cell r="C49" t="str">
            <v>05</v>
          </cell>
          <cell r="E49" t="str">
            <v>1.00.05  Define Design Reviews Requirements &amp; Expectations</v>
          </cell>
          <cell r="F49" t="str">
            <v/>
          </cell>
          <cell r="G49" t="str">
            <v>L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 t="str">
            <v/>
          </cell>
          <cell r="P49" t="str">
            <v/>
          </cell>
          <cell r="Q49" t="str">
            <v/>
          </cell>
          <cell r="R49" t="str">
            <v/>
          </cell>
          <cell r="S49" t="str">
            <v/>
          </cell>
          <cell r="T49" t="str">
            <v>R</v>
          </cell>
          <cell r="U49" t="str">
            <v/>
          </cell>
          <cell r="V49" t="str">
            <v/>
          </cell>
          <cell r="W49" t="str">
            <v/>
          </cell>
          <cell r="X49">
            <v>100</v>
          </cell>
        </row>
        <row r="50">
          <cell r="A50" t="str">
            <v>1</v>
          </cell>
          <cell r="B50" t="str">
            <v>00</v>
          </cell>
          <cell r="C50" t="str">
            <v>06</v>
          </cell>
          <cell r="E50" t="str">
            <v>1.00.06  Define Project Record Retention System</v>
          </cell>
          <cell r="F50" t="str">
            <v/>
          </cell>
          <cell r="G50" t="str">
            <v>L</v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  <cell r="P50" t="str">
            <v/>
          </cell>
          <cell r="Q50" t="str">
            <v/>
          </cell>
          <cell r="R50" t="str">
            <v/>
          </cell>
          <cell r="S50" t="str">
            <v/>
          </cell>
          <cell r="T50" t="str">
            <v>R</v>
          </cell>
          <cell r="U50" t="str">
            <v/>
          </cell>
          <cell r="V50" t="str">
            <v/>
          </cell>
          <cell r="W50" t="str">
            <v/>
          </cell>
          <cell r="X50">
            <v>100</v>
          </cell>
        </row>
        <row r="51">
          <cell r="A51" t="str">
            <v>1</v>
          </cell>
          <cell r="B51" t="str">
            <v>00</v>
          </cell>
          <cell r="C51" t="str">
            <v>07</v>
          </cell>
          <cell r="E51" t="str">
            <v>1.00.07  Define Project Communication Requirements</v>
          </cell>
          <cell r="F51" t="str">
            <v/>
          </cell>
          <cell r="G51" t="str">
            <v>L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  <cell r="Q51" t="str">
            <v/>
          </cell>
          <cell r="R51" t="str">
            <v/>
          </cell>
          <cell r="S51" t="str">
            <v/>
          </cell>
          <cell r="T51" t="str">
            <v>R</v>
          </cell>
          <cell r="U51" t="str">
            <v>R</v>
          </cell>
          <cell r="V51" t="str">
            <v>R</v>
          </cell>
          <cell r="W51" t="str">
            <v>R</v>
          </cell>
          <cell r="X51">
            <v>100</v>
          </cell>
        </row>
        <row r="52">
          <cell r="A52" t="str">
            <v>1</v>
          </cell>
          <cell r="B52" t="str">
            <v>00</v>
          </cell>
          <cell r="C52" t="str">
            <v>08</v>
          </cell>
          <cell r="E52" t="str">
            <v>1.00.08 Identify Human Resource Requirements</v>
          </cell>
          <cell r="F52" t="str">
            <v/>
          </cell>
          <cell r="G52" t="str">
            <v>L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 t="str">
            <v/>
          </cell>
          <cell r="P52" t="str">
            <v/>
          </cell>
          <cell r="Q52" t="str">
            <v/>
          </cell>
          <cell r="R52" t="str">
            <v/>
          </cell>
          <cell r="S52" t="str">
            <v/>
          </cell>
          <cell r="T52" t="str">
            <v>R</v>
          </cell>
          <cell r="U52" t="str">
            <v/>
          </cell>
          <cell r="V52" t="str">
            <v/>
          </cell>
          <cell r="W52" t="str">
            <v/>
          </cell>
          <cell r="X52">
            <v>100</v>
          </cell>
        </row>
        <row r="53">
          <cell r="A53" t="str">
            <v>1</v>
          </cell>
          <cell r="B53" t="str">
            <v>00</v>
          </cell>
          <cell r="C53" t="str">
            <v>09</v>
          </cell>
          <cell r="E53" t="str">
            <v>1.00.09 Establish Project Cost Tracking Method</v>
          </cell>
          <cell r="F53" t="str">
            <v/>
          </cell>
          <cell r="G53" t="str">
            <v>L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 t="str">
            <v/>
          </cell>
          <cell r="P53" t="str">
            <v/>
          </cell>
          <cell r="Q53" t="str">
            <v/>
          </cell>
          <cell r="R53" t="str">
            <v/>
          </cell>
          <cell r="S53" t="str">
            <v/>
          </cell>
          <cell r="T53" t="str">
            <v>R</v>
          </cell>
          <cell r="U53" t="str">
            <v>R</v>
          </cell>
          <cell r="V53" t="str">
            <v>R</v>
          </cell>
          <cell r="W53" t="str">
            <v>R</v>
          </cell>
          <cell r="X53">
            <v>100</v>
          </cell>
        </row>
        <row r="54">
          <cell r="A54" t="str">
            <v>1</v>
          </cell>
          <cell r="B54" t="str">
            <v>00</v>
          </cell>
          <cell r="C54" t="str">
            <v>10</v>
          </cell>
          <cell r="E54" t="str">
            <v>1.00.10 Estimate Project Timing</v>
          </cell>
          <cell r="F54" t="str">
            <v/>
          </cell>
          <cell r="G54" t="str">
            <v>L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>R</v>
          </cell>
          <cell r="Q54" t="str">
            <v>R</v>
          </cell>
          <cell r="R54" t="str">
            <v/>
          </cell>
          <cell r="S54" t="str">
            <v/>
          </cell>
          <cell r="T54" t="str">
            <v>R</v>
          </cell>
          <cell r="U54" t="str">
            <v>R</v>
          </cell>
          <cell r="V54" t="str">
            <v>R</v>
          </cell>
          <cell r="W54" t="str">
            <v>R</v>
          </cell>
          <cell r="X54">
            <v>100</v>
          </cell>
        </row>
        <row r="55">
          <cell r="A55" t="str">
            <v>1</v>
          </cell>
          <cell r="B55" t="str">
            <v>00</v>
          </cell>
          <cell r="C55" t="str">
            <v>11</v>
          </cell>
          <cell r="E55" t="str">
            <v>1.00.11  Develop Phase 1 Project Work Breakdown Structure</v>
          </cell>
          <cell r="F55" t="str">
            <v/>
          </cell>
          <cell r="G55" t="str">
            <v>L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>R</v>
          </cell>
          <cell r="Q55" t="str">
            <v>R</v>
          </cell>
          <cell r="R55" t="str">
            <v/>
          </cell>
          <cell r="S55" t="str">
            <v/>
          </cell>
          <cell r="T55" t="str">
            <v>R</v>
          </cell>
          <cell r="U55" t="str">
            <v>R</v>
          </cell>
          <cell r="V55" t="str">
            <v/>
          </cell>
          <cell r="W55" t="str">
            <v/>
          </cell>
          <cell r="X55">
            <v>100</v>
          </cell>
        </row>
        <row r="56">
          <cell r="A56" t="str">
            <v>1</v>
          </cell>
          <cell r="B56" t="str">
            <v>00</v>
          </cell>
          <cell r="C56" t="str">
            <v>12</v>
          </cell>
          <cell r="E56" t="str">
            <v>1.00.12 Determine Project Metrics</v>
          </cell>
          <cell r="F56" t="str">
            <v/>
          </cell>
          <cell r="G56" t="str">
            <v>L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  <cell r="T56" t="str">
            <v>R</v>
          </cell>
          <cell r="U56" t="str">
            <v/>
          </cell>
          <cell r="V56" t="str">
            <v/>
          </cell>
          <cell r="W56" t="str">
            <v/>
          </cell>
          <cell r="X56">
            <v>100</v>
          </cell>
        </row>
        <row r="57">
          <cell r="A57" t="str">
            <v>1</v>
          </cell>
          <cell r="B57" t="str">
            <v>00</v>
          </cell>
          <cell r="C57" t="str">
            <v>13</v>
          </cell>
          <cell r="E57" t="str">
            <v>1.00.13  Initiate Project Action Plan</v>
          </cell>
          <cell r="F57" t="str">
            <v/>
          </cell>
          <cell r="G57" t="str">
            <v>L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 t="str">
            <v/>
          </cell>
          <cell r="P57" t="str">
            <v>R</v>
          </cell>
          <cell r="Q57" t="str">
            <v>R</v>
          </cell>
          <cell r="R57" t="str">
            <v>R</v>
          </cell>
          <cell r="S57" t="str">
            <v/>
          </cell>
          <cell r="T57" t="str">
            <v>R</v>
          </cell>
          <cell r="U57" t="str">
            <v>R</v>
          </cell>
          <cell r="V57" t="str">
            <v>R</v>
          </cell>
          <cell r="W57" t="str">
            <v/>
          </cell>
          <cell r="X57">
            <v>100</v>
          </cell>
        </row>
        <row r="58">
          <cell r="A58" t="str">
            <v>1</v>
          </cell>
          <cell r="B58" t="str">
            <v>01</v>
          </cell>
          <cell r="C58" t="str">
            <v/>
          </cell>
          <cell r="E58" t="str">
            <v>1.01 Customer Inputs (APQP 1.6)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  <cell r="P58" t="str">
            <v>R</v>
          </cell>
          <cell r="Q58" t="str">
            <v>R</v>
          </cell>
          <cell r="R58" t="str">
            <v>R</v>
          </cell>
          <cell r="S58" t="str">
            <v/>
          </cell>
          <cell r="T58" t="str">
            <v>R</v>
          </cell>
          <cell r="U58" t="str">
            <v>R</v>
          </cell>
          <cell r="V58" t="str">
            <v>R</v>
          </cell>
          <cell r="W58" t="str">
            <v/>
          </cell>
          <cell r="X58">
            <v>100</v>
          </cell>
          <cell r="Y58">
            <v>1</v>
          </cell>
        </row>
        <row r="59">
          <cell r="A59" t="str">
            <v>1</v>
          </cell>
          <cell r="B59" t="str">
            <v>01</v>
          </cell>
          <cell r="C59" t="str">
            <v>01</v>
          </cell>
          <cell r="E59" t="str">
            <v>1.01.01  Obtain Customer Inputs &amp; Expectations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>L</v>
          </cell>
          <cell r="M59" t="str">
            <v/>
          </cell>
          <cell r="N59" t="str">
            <v/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  <cell r="T59" t="str">
            <v>R</v>
          </cell>
          <cell r="U59" t="str">
            <v/>
          </cell>
          <cell r="V59" t="str">
            <v/>
          </cell>
          <cell r="W59" t="str">
            <v/>
          </cell>
          <cell r="X59">
            <v>100</v>
          </cell>
        </row>
        <row r="60">
          <cell r="A60" t="str">
            <v>1</v>
          </cell>
          <cell r="B60" t="str">
            <v>01</v>
          </cell>
          <cell r="C60" t="str">
            <v>02</v>
          </cell>
          <cell r="E60" t="str">
            <v>1.01.02  Obtain Vehicle Packaging Requirements</v>
          </cell>
          <cell r="F60" t="str">
            <v/>
          </cell>
          <cell r="G60" t="str">
            <v/>
          </cell>
          <cell r="H60" t="str">
            <v>L</v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  <cell r="T60" t="str">
            <v>R</v>
          </cell>
          <cell r="U60" t="str">
            <v/>
          </cell>
          <cell r="V60" t="str">
            <v/>
          </cell>
          <cell r="W60" t="str">
            <v/>
          </cell>
          <cell r="X60">
            <v>100</v>
          </cell>
        </row>
        <row r="61">
          <cell r="A61" t="str">
            <v>1</v>
          </cell>
          <cell r="B61" t="str">
            <v>01</v>
          </cell>
          <cell r="C61" t="str">
            <v>03</v>
          </cell>
          <cell r="E61" t="str">
            <v>1.01.03  Confirm Aftermarket Service Requirements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>L</v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  <cell r="T61" t="str">
            <v>R</v>
          </cell>
          <cell r="U61" t="str">
            <v/>
          </cell>
          <cell r="V61" t="str">
            <v/>
          </cell>
          <cell r="W61" t="str">
            <v/>
          </cell>
          <cell r="X61">
            <v>100</v>
          </cell>
        </row>
        <row r="62">
          <cell r="A62" t="str">
            <v>1</v>
          </cell>
          <cell r="B62" t="str">
            <v>01</v>
          </cell>
          <cell r="C62" t="str">
            <v>04</v>
          </cell>
          <cell r="E62" t="str">
            <v>1.01.04  Obtain Customer RFQ Information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>L</v>
          </cell>
          <cell r="M62" t="str">
            <v/>
          </cell>
          <cell r="N62" t="str">
            <v/>
          </cell>
          <cell r="O62" t="str">
            <v/>
          </cell>
          <cell r="P62" t="str">
            <v>R</v>
          </cell>
          <cell r="Q62" t="str">
            <v>R</v>
          </cell>
          <cell r="R62" t="str">
            <v>R</v>
          </cell>
          <cell r="S62" t="str">
            <v/>
          </cell>
          <cell r="T62" t="str">
            <v>R</v>
          </cell>
          <cell r="U62" t="str">
            <v>R</v>
          </cell>
          <cell r="V62" t="str">
            <v>R</v>
          </cell>
          <cell r="W62" t="str">
            <v/>
          </cell>
          <cell r="X62">
            <v>100</v>
          </cell>
        </row>
        <row r="63">
          <cell r="A63" t="str">
            <v>1</v>
          </cell>
          <cell r="B63" t="str">
            <v>01</v>
          </cell>
          <cell r="C63" t="str">
            <v>05</v>
          </cell>
          <cell r="E63" t="str">
            <v>1.01.05  Prepare Customer Expectations Gap Analysis</v>
          </cell>
          <cell r="F63" t="str">
            <v/>
          </cell>
          <cell r="G63" t="str">
            <v>L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 t="str">
            <v/>
          </cell>
          <cell r="P63" t="str">
            <v/>
          </cell>
          <cell r="Q63" t="str">
            <v/>
          </cell>
          <cell r="R63" t="str">
            <v/>
          </cell>
          <cell r="S63" t="str">
            <v/>
          </cell>
          <cell r="T63" t="str">
            <v>R</v>
          </cell>
          <cell r="U63" t="str">
            <v/>
          </cell>
          <cell r="V63" t="str">
            <v/>
          </cell>
          <cell r="W63" t="str">
            <v/>
          </cell>
          <cell r="X63">
            <v>100</v>
          </cell>
        </row>
        <row r="64">
          <cell r="A64" t="str">
            <v>1</v>
          </cell>
          <cell r="B64" t="str">
            <v>01</v>
          </cell>
          <cell r="C64" t="str">
            <v>06</v>
          </cell>
          <cell r="E64" t="str">
            <v>1.01.06 Update Requirements Document</v>
          </cell>
          <cell r="F64" t="str">
            <v/>
          </cell>
          <cell r="G64" t="str">
            <v>L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 t="str">
            <v/>
          </cell>
          <cell r="P64" t="str">
            <v>R</v>
          </cell>
          <cell r="Q64" t="str">
            <v>R</v>
          </cell>
          <cell r="R64" t="str">
            <v/>
          </cell>
          <cell r="S64" t="str">
            <v/>
          </cell>
          <cell r="T64" t="str">
            <v>R</v>
          </cell>
          <cell r="U64" t="str">
            <v>R</v>
          </cell>
          <cell r="V64" t="str">
            <v/>
          </cell>
          <cell r="W64" t="str">
            <v/>
          </cell>
          <cell r="X64">
            <v>100</v>
          </cell>
        </row>
        <row r="65">
          <cell r="A65" t="str">
            <v>1</v>
          </cell>
          <cell r="B65" t="str">
            <v>01</v>
          </cell>
          <cell r="C65" t="str">
            <v>07</v>
          </cell>
          <cell r="E65" t="str">
            <v>1.01.07  Prepare Customer Quote Information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>L</v>
          </cell>
          <cell r="M65" t="str">
            <v/>
          </cell>
          <cell r="N65" t="str">
            <v/>
          </cell>
          <cell r="O65" t="str">
            <v/>
          </cell>
          <cell r="P65" t="str">
            <v>R</v>
          </cell>
          <cell r="Q65" t="str">
            <v>R</v>
          </cell>
          <cell r="R65" t="str">
            <v/>
          </cell>
          <cell r="S65" t="str">
            <v/>
          </cell>
          <cell r="T65" t="str">
            <v>R</v>
          </cell>
          <cell r="U65" t="str">
            <v>R</v>
          </cell>
          <cell r="V65" t="str">
            <v>R</v>
          </cell>
          <cell r="W65" t="str">
            <v>R</v>
          </cell>
          <cell r="X65">
            <v>100</v>
          </cell>
        </row>
        <row r="66">
          <cell r="A66" t="str">
            <v>1</v>
          </cell>
          <cell r="B66" t="str">
            <v>02</v>
          </cell>
          <cell r="C66" t="str">
            <v/>
          </cell>
          <cell r="E66" t="str">
            <v>1.02 Design Goals (APQP 1.7)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 t="str">
            <v/>
          </cell>
          <cell r="P66" t="str">
            <v>R</v>
          </cell>
          <cell r="Q66" t="str">
            <v>R</v>
          </cell>
          <cell r="R66" t="str">
            <v/>
          </cell>
          <cell r="S66" t="str">
            <v/>
          </cell>
          <cell r="T66" t="str">
            <v>R</v>
          </cell>
          <cell r="U66" t="str">
            <v>R</v>
          </cell>
          <cell r="V66" t="str">
            <v/>
          </cell>
          <cell r="W66" t="str">
            <v/>
          </cell>
          <cell r="X66">
            <v>100</v>
          </cell>
          <cell r="Y66">
            <v>1</v>
          </cell>
        </row>
        <row r="67">
          <cell r="A67" t="str">
            <v>1</v>
          </cell>
          <cell r="B67" t="str">
            <v>02</v>
          </cell>
          <cell r="C67" t="str">
            <v>01</v>
          </cell>
          <cell r="E67" t="str">
            <v>1.02.01  Confirm Government Regulations</v>
          </cell>
          <cell r="F67" t="str">
            <v/>
          </cell>
          <cell r="G67" t="str">
            <v/>
          </cell>
          <cell r="H67" t="str">
            <v>L</v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 t="str">
            <v/>
          </cell>
          <cell r="P67" t="str">
            <v/>
          </cell>
          <cell r="Q67" t="str">
            <v/>
          </cell>
          <cell r="R67" t="str">
            <v/>
          </cell>
          <cell r="S67" t="str">
            <v/>
          </cell>
          <cell r="T67" t="str">
            <v>R</v>
          </cell>
          <cell r="U67" t="str">
            <v/>
          </cell>
          <cell r="V67" t="str">
            <v/>
          </cell>
          <cell r="W67" t="str">
            <v/>
          </cell>
          <cell r="X67">
            <v>100</v>
          </cell>
        </row>
        <row r="68">
          <cell r="A68" t="str">
            <v>1</v>
          </cell>
          <cell r="B68" t="str">
            <v>02</v>
          </cell>
          <cell r="C68" t="str">
            <v>02</v>
          </cell>
          <cell r="E68" t="str">
            <v>1.02.02  Review Technology Roadmap</v>
          </cell>
          <cell r="F68" t="str">
            <v/>
          </cell>
          <cell r="G68" t="str">
            <v/>
          </cell>
          <cell r="H68" t="str">
            <v>L</v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 t="str">
            <v/>
          </cell>
          <cell r="P68" t="str">
            <v/>
          </cell>
          <cell r="Q68" t="str">
            <v/>
          </cell>
          <cell r="R68" t="str">
            <v/>
          </cell>
          <cell r="S68" t="str">
            <v/>
          </cell>
          <cell r="T68" t="str">
            <v>R</v>
          </cell>
          <cell r="U68" t="str">
            <v>R</v>
          </cell>
          <cell r="V68" t="str">
            <v>R</v>
          </cell>
          <cell r="W68" t="str">
            <v>R</v>
          </cell>
          <cell r="X68">
            <v>100</v>
          </cell>
        </row>
        <row r="69">
          <cell r="A69" t="str">
            <v>1</v>
          </cell>
          <cell r="B69" t="str">
            <v>02</v>
          </cell>
          <cell r="C69" t="str">
            <v>03</v>
          </cell>
          <cell r="E69" t="str">
            <v>1.02.03  Investigate Intellectual Property Rights</v>
          </cell>
          <cell r="F69" t="str">
            <v/>
          </cell>
          <cell r="G69" t="str">
            <v/>
          </cell>
          <cell r="H69" t="str">
            <v>L</v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 t="str">
            <v/>
          </cell>
          <cell r="P69" t="str">
            <v/>
          </cell>
          <cell r="Q69" t="str">
            <v/>
          </cell>
          <cell r="R69" t="str">
            <v/>
          </cell>
          <cell r="S69" t="str">
            <v/>
          </cell>
          <cell r="T69" t="str">
            <v>R</v>
          </cell>
          <cell r="U69" t="str">
            <v/>
          </cell>
          <cell r="V69" t="str">
            <v/>
          </cell>
          <cell r="W69" t="str">
            <v/>
          </cell>
          <cell r="X69">
            <v>100</v>
          </cell>
        </row>
        <row r="70">
          <cell r="A70" t="str">
            <v>1</v>
          </cell>
          <cell r="B70" t="str">
            <v>02</v>
          </cell>
          <cell r="C70" t="str">
            <v>04</v>
          </cell>
          <cell r="E70" t="str">
            <v>1.02.04  Refine Product Performance Requirements</v>
          </cell>
          <cell r="F70" t="str">
            <v/>
          </cell>
          <cell r="G70" t="str">
            <v>L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 t="str">
            <v/>
          </cell>
          <cell r="P70" t="str">
            <v>R</v>
          </cell>
          <cell r="Q70" t="str">
            <v>R</v>
          </cell>
          <cell r="R70" t="str">
            <v/>
          </cell>
          <cell r="S70" t="str">
            <v/>
          </cell>
          <cell r="T70" t="str">
            <v>R</v>
          </cell>
          <cell r="U70" t="str">
            <v>R</v>
          </cell>
          <cell r="V70" t="str">
            <v/>
          </cell>
          <cell r="W70" t="str">
            <v/>
          </cell>
          <cell r="X70">
            <v>100</v>
          </cell>
        </row>
        <row r="71">
          <cell r="A71" t="str">
            <v>1</v>
          </cell>
          <cell r="B71" t="str">
            <v>03</v>
          </cell>
          <cell r="C71" t="str">
            <v/>
          </cell>
          <cell r="E71" t="str">
            <v>1.03 Reliability and Quality Goals (APQP 1.8)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/>
          </cell>
          <cell r="P71" t="str">
            <v>R</v>
          </cell>
          <cell r="Q71" t="str">
            <v>R</v>
          </cell>
          <cell r="R71" t="str">
            <v/>
          </cell>
          <cell r="S71" t="str">
            <v/>
          </cell>
          <cell r="T71" t="str">
            <v>R</v>
          </cell>
          <cell r="U71" t="str">
            <v>R</v>
          </cell>
          <cell r="V71" t="str">
            <v/>
          </cell>
          <cell r="W71" t="str">
            <v/>
          </cell>
          <cell r="X71">
            <v>100</v>
          </cell>
          <cell r="Y71">
            <v>1</v>
          </cell>
        </row>
        <row r="72">
          <cell r="A72" t="str">
            <v>1</v>
          </cell>
          <cell r="B72" t="str">
            <v>03</v>
          </cell>
          <cell r="C72" t="str">
            <v>01</v>
          </cell>
          <cell r="E72" t="str">
            <v>1.03.01  Develop Reliability Targets</v>
          </cell>
          <cell r="F72" t="str">
            <v/>
          </cell>
          <cell r="G72" t="str">
            <v>L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 t="str">
            <v>R</v>
          </cell>
          <cell r="Q72" t="str">
            <v>R</v>
          </cell>
          <cell r="R72" t="str">
            <v/>
          </cell>
          <cell r="S72" t="str">
            <v/>
          </cell>
          <cell r="T72" t="str">
            <v>R</v>
          </cell>
          <cell r="U72" t="str">
            <v>R</v>
          </cell>
          <cell r="V72" t="str">
            <v/>
          </cell>
          <cell r="W72" t="str">
            <v/>
          </cell>
          <cell r="X72">
            <v>100</v>
          </cell>
        </row>
        <row r="73">
          <cell r="A73" t="str">
            <v>1</v>
          </cell>
          <cell r="B73" t="str">
            <v>04</v>
          </cell>
          <cell r="C73" t="str">
            <v/>
          </cell>
          <cell r="E73" t="str">
            <v>1.04 Design Concept Development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  <cell r="S73" t="str">
            <v/>
          </cell>
          <cell r="T73" t="str">
            <v>R</v>
          </cell>
          <cell r="U73" t="str">
            <v/>
          </cell>
          <cell r="V73" t="str">
            <v/>
          </cell>
          <cell r="W73" t="str">
            <v/>
          </cell>
          <cell r="X73">
            <v>100</v>
          </cell>
          <cell r="Y73">
            <v>1</v>
          </cell>
        </row>
        <row r="74">
          <cell r="A74" t="str">
            <v>1</v>
          </cell>
          <cell r="B74" t="str">
            <v>04</v>
          </cell>
          <cell r="C74" t="str">
            <v>01</v>
          </cell>
          <cell r="E74" t="str">
            <v>1.04.01  Assess Design Concept Options vs. Performance Requirements</v>
          </cell>
          <cell r="F74" t="str">
            <v/>
          </cell>
          <cell r="G74" t="str">
            <v/>
          </cell>
          <cell r="H74" t="str">
            <v>L</v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 t="str">
            <v/>
          </cell>
          <cell r="P74" t="str">
            <v/>
          </cell>
          <cell r="Q74" t="str">
            <v/>
          </cell>
          <cell r="R74" t="str">
            <v/>
          </cell>
          <cell r="S74" t="str">
            <v/>
          </cell>
          <cell r="T74" t="str">
            <v>R</v>
          </cell>
          <cell r="U74" t="str">
            <v/>
          </cell>
          <cell r="V74" t="str">
            <v/>
          </cell>
          <cell r="W74" t="str">
            <v/>
          </cell>
          <cell r="X74">
            <v>100</v>
          </cell>
        </row>
        <row r="75">
          <cell r="A75" t="str">
            <v>1</v>
          </cell>
          <cell r="B75" t="str">
            <v>04</v>
          </cell>
          <cell r="C75" t="str">
            <v>02</v>
          </cell>
          <cell r="E75" t="str">
            <v>1.04.02  Select Best Design Concept Options</v>
          </cell>
          <cell r="F75" t="str">
            <v/>
          </cell>
          <cell r="G75" t="str">
            <v/>
          </cell>
          <cell r="H75" t="str">
            <v>L</v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  <cell r="S75" t="str">
            <v/>
          </cell>
          <cell r="T75" t="str">
            <v>R</v>
          </cell>
          <cell r="U75" t="str">
            <v>R</v>
          </cell>
          <cell r="V75" t="str">
            <v>R</v>
          </cell>
          <cell r="W75" t="str">
            <v>R</v>
          </cell>
          <cell r="X75">
            <v>100</v>
          </cell>
        </row>
        <row r="76">
          <cell r="A76" t="str">
            <v>1</v>
          </cell>
          <cell r="B76" t="str">
            <v>05</v>
          </cell>
          <cell r="C76" t="str">
            <v/>
          </cell>
          <cell r="E76" t="str">
            <v>1.05 Preliminary Bill of Material (APQP 1.9)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 t="str">
            <v/>
          </cell>
          <cell r="P76" t="str">
            <v>R</v>
          </cell>
          <cell r="Q76" t="str">
            <v>R</v>
          </cell>
          <cell r="R76" t="str">
            <v>R</v>
          </cell>
          <cell r="S76" t="str">
            <v/>
          </cell>
          <cell r="T76" t="str">
            <v>R</v>
          </cell>
          <cell r="U76" t="str">
            <v>R</v>
          </cell>
          <cell r="V76" t="str">
            <v>R</v>
          </cell>
          <cell r="W76" t="str">
            <v/>
          </cell>
          <cell r="X76">
            <v>100</v>
          </cell>
          <cell r="Y76">
            <v>1</v>
          </cell>
        </row>
        <row r="77">
          <cell r="A77" t="str">
            <v>1</v>
          </cell>
          <cell r="B77" t="str">
            <v>05</v>
          </cell>
          <cell r="C77" t="str">
            <v>01</v>
          </cell>
          <cell r="E77" t="str">
            <v>1.05.01  Develop Product Concept Specifications &amp;  BOM</v>
          </cell>
          <cell r="F77" t="str">
            <v/>
          </cell>
          <cell r="G77" t="str">
            <v/>
          </cell>
          <cell r="H77" t="str">
            <v>L</v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>R</v>
          </cell>
          <cell r="Q77" t="str">
            <v>R</v>
          </cell>
          <cell r="R77" t="str">
            <v>R</v>
          </cell>
          <cell r="S77" t="str">
            <v/>
          </cell>
          <cell r="T77" t="str">
            <v>R</v>
          </cell>
          <cell r="U77" t="str">
            <v>R</v>
          </cell>
          <cell r="V77" t="str">
            <v>R</v>
          </cell>
          <cell r="W77" t="str">
            <v>R</v>
          </cell>
          <cell r="X77">
            <v>100</v>
          </cell>
        </row>
        <row r="78">
          <cell r="A78" t="str">
            <v>1</v>
          </cell>
          <cell r="B78" t="str">
            <v>06</v>
          </cell>
          <cell r="C78" t="str">
            <v/>
          </cell>
          <cell r="E78" t="str">
            <v>1.06 Warranty and Service Plan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  <cell r="T78" t="str">
            <v>R</v>
          </cell>
          <cell r="U78" t="str">
            <v/>
          </cell>
          <cell r="V78" t="str">
            <v/>
          </cell>
          <cell r="W78" t="str">
            <v/>
          </cell>
          <cell r="X78">
            <v>100</v>
          </cell>
          <cell r="Y78">
            <v>1</v>
          </cell>
        </row>
        <row r="79">
          <cell r="A79" t="str">
            <v>1</v>
          </cell>
          <cell r="B79" t="str">
            <v>06</v>
          </cell>
          <cell r="C79" t="str">
            <v>01</v>
          </cell>
          <cell r="E79" t="str">
            <v>1.06.01  Determine Service Parts Requirements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>L</v>
          </cell>
          <cell r="M79" t="str">
            <v/>
          </cell>
          <cell r="N79" t="str">
            <v/>
          </cell>
          <cell r="O79" t="str">
            <v/>
          </cell>
          <cell r="P79" t="str">
            <v/>
          </cell>
          <cell r="Q79" t="str">
            <v/>
          </cell>
          <cell r="R79" t="str">
            <v/>
          </cell>
          <cell r="S79" t="str">
            <v/>
          </cell>
          <cell r="T79" t="str">
            <v>R</v>
          </cell>
          <cell r="U79" t="str">
            <v/>
          </cell>
          <cell r="V79" t="str">
            <v/>
          </cell>
          <cell r="W79" t="str">
            <v/>
          </cell>
          <cell r="X79">
            <v>100</v>
          </cell>
        </row>
        <row r="80">
          <cell r="A80" t="str">
            <v>1</v>
          </cell>
          <cell r="B80" t="str">
            <v>06</v>
          </cell>
          <cell r="C80" t="str">
            <v>02</v>
          </cell>
          <cell r="E80" t="str">
            <v>1.06.02  Determine Service Training Requirements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>L</v>
          </cell>
          <cell r="M80" t="str">
            <v/>
          </cell>
          <cell r="N80" t="str">
            <v/>
          </cell>
          <cell r="O80" t="str">
            <v/>
          </cell>
          <cell r="P80" t="str">
            <v/>
          </cell>
          <cell r="Q80" t="str">
            <v/>
          </cell>
          <cell r="R80" t="str">
            <v/>
          </cell>
          <cell r="S80" t="str">
            <v/>
          </cell>
          <cell r="T80" t="str">
            <v>R</v>
          </cell>
          <cell r="U80" t="str">
            <v/>
          </cell>
          <cell r="V80" t="str">
            <v/>
          </cell>
          <cell r="W80" t="str">
            <v/>
          </cell>
          <cell r="X80">
            <v>100</v>
          </cell>
        </row>
        <row r="81">
          <cell r="A81" t="str">
            <v>1</v>
          </cell>
          <cell r="B81" t="str">
            <v>06</v>
          </cell>
          <cell r="C81" t="str">
            <v>03</v>
          </cell>
          <cell r="E81" t="str">
            <v>1.06.03  Determine Product Service Literature Requirements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>L</v>
          </cell>
          <cell r="M81" t="str">
            <v/>
          </cell>
          <cell r="N81" t="str">
            <v/>
          </cell>
          <cell r="O81" t="str">
            <v/>
          </cell>
          <cell r="P81" t="str">
            <v/>
          </cell>
          <cell r="Q81" t="str">
            <v/>
          </cell>
          <cell r="R81" t="str">
            <v/>
          </cell>
          <cell r="S81" t="str">
            <v/>
          </cell>
          <cell r="T81" t="str">
            <v>R</v>
          </cell>
          <cell r="U81" t="str">
            <v/>
          </cell>
          <cell r="V81" t="str">
            <v/>
          </cell>
          <cell r="W81" t="str">
            <v/>
          </cell>
          <cell r="X81">
            <v>100</v>
          </cell>
        </row>
        <row r="82">
          <cell r="A82" t="str">
            <v>1</v>
          </cell>
          <cell r="B82" t="str">
            <v>06</v>
          </cell>
          <cell r="C82" t="str">
            <v>04</v>
          </cell>
          <cell r="E82" t="str">
            <v>1.06.04  Determine Warranty Mitigation Requirements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>L</v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 t="str">
            <v/>
          </cell>
          <cell r="P82" t="str">
            <v/>
          </cell>
          <cell r="Q82" t="str">
            <v/>
          </cell>
          <cell r="R82" t="str">
            <v/>
          </cell>
          <cell r="S82" t="str">
            <v/>
          </cell>
          <cell r="T82" t="str">
            <v>R</v>
          </cell>
          <cell r="U82" t="str">
            <v>R</v>
          </cell>
          <cell r="V82" t="str">
            <v>R</v>
          </cell>
          <cell r="W82" t="str">
            <v>R</v>
          </cell>
          <cell r="X82">
            <v>100</v>
          </cell>
        </row>
        <row r="83">
          <cell r="A83" t="str">
            <v>1</v>
          </cell>
          <cell r="B83" t="str">
            <v>07</v>
          </cell>
          <cell r="C83" t="str">
            <v/>
          </cell>
          <cell r="E83" t="str">
            <v>1.07 Preliminary Process Flow Chart (APQP 1.10)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 t="str">
            <v/>
          </cell>
          <cell r="P83" t="str">
            <v>R</v>
          </cell>
          <cell r="Q83" t="str">
            <v>R</v>
          </cell>
          <cell r="R83" t="str">
            <v/>
          </cell>
          <cell r="S83" t="str">
            <v/>
          </cell>
          <cell r="T83" t="str">
            <v>R</v>
          </cell>
          <cell r="U83" t="str">
            <v>R</v>
          </cell>
          <cell r="V83" t="str">
            <v/>
          </cell>
          <cell r="W83" t="str">
            <v/>
          </cell>
          <cell r="X83">
            <v>100</v>
          </cell>
          <cell r="Y83">
            <v>1</v>
          </cell>
        </row>
        <row r="84">
          <cell r="A84" t="str">
            <v>1</v>
          </cell>
          <cell r="B84" t="str">
            <v>07</v>
          </cell>
          <cell r="C84" t="str">
            <v>01</v>
          </cell>
          <cell r="E84" t="str">
            <v>1.07.01  Identify Preliminary Process Steps</v>
          </cell>
          <cell r="F84" t="str">
            <v/>
          </cell>
          <cell r="G84" t="str">
            <v/>
          </cell>
          <cell r="H84" t="str">
            <v/>
          </cell>
          <cell r="I84" t="str">
            <v>L</v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 t="str">
            <v/>
          </cell>
          <cell r="P84" t="str">
            <v/>
          </cell>
          <cell r="Q84" t="str">
            <v/>
          </cell>
          <cell r="R84" t="str">
            <v/>
          </cell>
          <cell r="S84" t="str">
            <v/>
          </cell>
          <cell r="T84" t="str">
            <v>R</v>
          </cell>
          <cell r="U84" t="str">
            <v/>
          </cell>
          <cell r="V84" t="str">
            <v/>
          </cell>
          <cell r="W84" t="str">
            <v/>
          </cell>
          <cell r="X84">
            <v>100</v>
          </cell>
        </row>
        <row r="85">
          <cell r="A85" t="str">
            <v>1</v>
          </cell>
          <cell r="B85" t="str">
            <v>07</v>
          </cell>
          <cell r="C85" t="str">
            <v>02</v>
          </cell>
          <cell r="E85" t="str">
            <v>1.07.02  Develop Preliminary Process Flow</v>
          </cell>
          <cell r="F85" t="str">
            <v/>
          </cell>
          <cell r="G85" t="str">
            <v/>
          </cell>
          <cell r="H85" t="str">
            <v/>
          </cell>
          <cell r="I85" t="str">
            <v>L</v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 t="str">
            <v/>
          </cell>
          <cell r="P85" t="str">
            <v>R</v>
          </cell>
          <cell r="Q85" t="str">
            <v>R</v>
          </cell>
          <cell r="R85" t="str">
            <v/>
          </cell>
          <cell r="S85" t="str">
            <v/>
          </cell>
          <cell r="T85" t="str">
            <v>R</v>
          </cell>
          <cell r="U85" t="str">
            <v>R</v>
          </cell>
          <cell r="V85" t="str">
            <v/>
          </cell>
          <cell r="W85" t="str">
            <v/>
          </cell>
          <cell r="X85">
            <v>100</v>
          </cell>
        </row>
        <row r="86">
          <cell r="A86" t="str">
            <v>1</v>
          </cell>
          <cell r="B86" t="str">
            <v>08</v>
          </cell>
          <cell r="C86" t="str">
            <v/>
          </cell>
          <cell r="E86" t="str">
            <v>1.08 Prioritized Sourcing List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 t="str">
            <v/>
          </cell>
          <cell r="P86" t="str">
            <v>R</v>
          </cell>
          <cell r="Q86" t="str">
            <v>R</v>
          </cell>
          <cell r="R86" t="str">
            <v/>
          </cell>
          <cell r="S86" t="str">
            <v/>
          </cell>
          <cell r="T86" t="str">
            <v>R</v>
          </cell>
          <cell r="U86" t="str">
            <v>R</v>
          </cell>
          <cell r="V86" t="str">
            <v/>
          </cell>
          <cell r="W86" t="str">
            <v/>
          </cell>
          <cell r="X86">
            <v>100</v>
          </cell>
          <cell r="Y86">
            <v>1</v>
          </cell>
        </row>
        <row r="87">
          <cell r="A87" t="str">
            <v>1</v>
          </cell>
          <cell r="B87" t="str">
            <v>08</v>
          </cell>
          <cell r="C87" t="str">
            <v>01</v>
          </cell>
          <cell r="E87" t="str">
            <v>1.08.01  Determine Initial Supply Chain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>L</v>
          </cell>
          <cell r="L87" t="str">
            <v/>
          </cell>
          <cell r="M87" t="str">
            <v/>
          </cell>
          <cell r="N87" t="str">
            <v/>
          </cell>
          <cell r="O87" t="str">
            <v/>
          </cell>
          <cell r="P87" t="str">
            <v>R</v>
          </cell>
          <cell r="Q87" t="str">
            <v>R</v>
          </cell>
          <cell r="R87" t="str">
            <v/>
          </cell>
          <cell r="S87" t="str">
            <v/>
          </cell>
          <cell r="T87" t="str">
            <v>R</v>
          </cell>
          <cell r="U87" t="str">
            <v>R</v>
          </cell>
          <cell r="V87" t="str">
            <v>R</v>
          </cell>
          <cell r="W87" t="str">
            <v>R</v>
          </cell>
          <cell r="X87">
            <v>100</v>
          </cell>
        </row>
        <row r="88">
          <cell r="A88" t="str">
            <v>1</v>
          </cell>
          <cell r="B88" t="str">
            <v>09</v>
          </cell>
          <cell r="C88" t="str">
            <v/>
          </cell>
          <cell r="E88" t="str">
            <v>1.09 Industrialization Planning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>R</v>
          </cell>
          <cell r="Q88" t="str">
            <v>R</v>
          </cell>
          <cell r="R88" t="str">
            <v/>
          </cell>
          <cell r="S88" t="str">
            <v/>
          </cell>
          <cell r="T88" t="str">
            <v>R</v>
          </cell>
          <cell r="U88" t="str">
            <v>R</v>
          </cell>
          <cell r="V88" t="str">
            <v>R</v>
          </cell>
          <cell r="W88" t="str">
            <v>R</v>
          </cell>
          <cell r="X88">
            <v>100</v>
          </cell>
          <cell r="Y88">
            <v>1</v>
          </cell>
        </row>
        <row r="89">
          <cell r="A89" t="str">
            <v>1</v>
          </cell>
          <cell r="B89" t="str">
            <v>09</v>
          </cell>
          <cell r="C89" t="str">
            <v>01</v>
          </cell>
          <cell r="E89" t="str">
            <v>1.09.01 Develop Industrialization Concept Options</v>
          </cell>
          <cell r="F89" t="str">
            <v/>
          </cell>
          <cell r="G89" t="str">
            <v/>
          </cell>
          <cell r="H89" t="str">
            <v/>
          </cell>
          <cell r="I89" t="str">
            <v>L</v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 t="str">
            <v/>
          </cell>
          <cell r="P89" t="str">
            <v/>
          </cell>
          <cell r="Q89" t="str">
            <v/>
          </cell>
          <cell r="R89" t="str">
            <v/>
          </cell>
          <cell r="S89" t="str">
            <v/>
          </cell>
          <cell r="T89" t="str">
            <v>R</v>
          </cell>
          <cell r="U89" t="str">
            <v>R</v>
          </cell>
          <cell r="V89" t="str">
            <v>R</v>
          </cell>
          <cell r="W89" t="str">
            <v>R</v>
          </cell>
          <cell r="X89">
            <v>100</v>
          </cell>
        </row>
        <row r="90">
          <cell r="A90" t="str">
            <v>1</v>
          </cell>
          <cell r="B90" t="str">
            <v>09</v>
          </cell>
          <cell r="C90" t="str">
            <v>02</v>
          </cell>
          <cell r="E90" t="str">
            <v>1.09.02  Identify Process Simulation Requirements</v>
          </cell>
          <cell r="F90" t="str">
            <v/>
          </cell>
          <cell r="G90" t="str">
            <v/>
          </cell>
          <cell r="H90" t="str">
            <v/>
          </cell>
          <cell r="I90" t="str">
            <v>L</v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  <cell r="S90" t="str">
            <v/>
          </cell>
          <cell r="T90" t="str">
            <v>R</v>
          </cell>
          <cell r="U90" t="str">
            <v>R</v>
          </cell>
          <cell r="V90" t="str">
            <v>R</v>
          </cell>
          <cell r="W90" t="str">
            <v>R</v>
          </cell>
          <cell r="X90">
            <v>100</v>
          </cell>
        </row>
        <row r="91">
          <cell r="A91" t="str">
            <v>1</v>
          </cell>
          <cell r="B91" t="str">
            <v>09</v>
          </cell>
          <cell r="C91" t="str">
            <v>03</v>
          </cell>
          <cell r="E91" t="str">
            <v>1.09.03  Determine Process Needs</v>
          </cell>
          <cell r="F91" t="str">
            <v/>
          </cell>
          <cell r="G91" t="str">
            <v/>
          </cell>
          <cell r="H91" t="str">
            <v/>
          </cell>
          <cell r="I91" t="str">
            <v>L</v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S91" t="str">
            <v/>
          </cell>
          <cell r="T91" t="str">
            <v>R</v>
          </cell>
          <cell r="U91" t="str">
            <v/>
          </cell>
          <cell r="V91" t="str">
            <v/>
          </cell>
          <cell r="W91" t="str">
            <v/>
          </cell>
          <cell r="X91">
            <v>100</v>
          </cell>
        </row>
        <row r="92">
          <cell r="A92" t="str">
            <v>1</v>
          </cell>
          <cell r="B92" t="str">
            <v>09</v>
          </cell>
          <cell r="C92" t="str">
            <v>04</v>
          </cell>
          <cell r="E92" t="str">
            <v>1.09.04  Define Initial Packaging and Logistics Assumptions</v>
          </cell>
          <cell r="F92" t="str">
            <v/>
          </cell>
          <cell r="G92" t="str">
            <v/>
          </cell>
          <cell r="H92" t="str">
            <v/>
          </cell>
          <cell r="I92" t="str">
            <v>L</v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  <cell r="T92" t="str">
            <v>R</v>
          </cell>
          <cell r="U92" t="str">
            <v/>
          </cell>
          <cell r="V92" t="str">
            <v/>
          </cell>
          <cell r="W92" t="str">
            <v/>
          </cell>
          <cell r="X92">
            <v>100</v>
          </cell>
        </row>
        <row r="93">
          <cell r="A93" t="str">
            <v>1</v>
          </cell>
          <cell r="B93" t="str">
            <v>09</v>
          </cell>
          <cell r="C93" t="str">
            <v>05</v>
          </cell>
          <cell r="E93" t="str">
            <v xml:space="preserve">1.09.05  Update Process Performance Targets </v>
          </cell>
          <cell r="F93" t="str">
            <v/>
          </cell>
          <cell r="G93" t="str">
            <v/>
          </cell>
          <cell r="H93" t="str">
            <v/>
          </cell>
          <cell r="I93" t="str">
            <v>L</v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  <cell r="S93" t="str">
            <v/>
          </cell>
          <cell r="T93" t="str">
            <v>R</v>
          </cell>
          <cell r="U93" t="str">
            <v/>
          </cell>
          <cell r="V93" t="str">
            <v/>
          </cell>
          <cell r="W93" t="str">
            <v/>
          </cell>
          <cell r="X93">
            <v>100</v>
          </cell>
        </row>
        <row r="94">
          <cell r="A94" t="str">
            <v>1</v>
          </cell>
          <cell r="B94" t="str">
            <v>09</v>
          </cell>
          <cell r="C94" t="str">
            <v>06</v>
          </cell>
          <cell r="E94" t="str">
            <v>1.09.06  Determine Initial Tooling and Equipment Requirements</v>
          </cell>
          <cell r="F94" t="str">
            <v/>
          </cell>
          <cell r="G94" t="str">
            <v/>
          </cell>
          <cell r="H94" t="str">
            <v/>
          </cell>
          <cell r="I94" t="str">
            <v>L</v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/>
          </cell>
          <cell r="S94" t="str">
            <v/>
          </cell>
          <cell r="T94" t="str">
            <v>R</v>
          </cell>
          <cell r="U94" t="str">
            <v/>
          </cell>
          <cell r="V94" t="str">
            <v/>
          </cell>
          <cell r="W94" t="str">
            <v/>
          </cell>
          <cell r="X94">
            <v>100</v>
          </cell>
        </row>
        <row r="95">
          <cell r="A95" t="str">
            <v>1</v>
          </cell>
          <cell r="B95" t="str">
            <v>09</v>
          </cell>
          <cell r="C95" t="str">
            <v>07</v>
          </cell>
          <cell r="E95" t="str">
            <v>1.09.07  Refine Product Manufacturing Cost Estimates</v>
          </cell>
          <cell r="F95" t="str">
            <v/>
          </cell>
          <cell r="G95" t="str">
            <v/>
          </cell>
          <cell r="H95" t="str">
            <v/>
          </cell>
          <cell r="I95" t="str">
            <v>L</v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 t="str">
            <v/>
          </cell>
          <cell r="P95" t="str">
            <v/>
          </cell>
          <cell r="Q95" t="str">
            <v/>
          </cell>
          <cell r="R95" t="str">
            <v/>
          </cell>
          <cell r="S95" t="str">
            <v/>
          </cell>
          <cell r="T95" t="str">
            <v>R</v>
          </cell>
          <cell r="U95" t="str">
            <v/>
          </cell>
          <cell r="V95" t="str">
            <v/>
          </cell>
          <cell r="W95" t="str">
            <v/>
          </cell>
          <cell r="X95">
            <v>100</v>
          </cell>
        </row>
        <row r="96">
          <cell r="A96" t="str">
            <v>1</v>
          </cell>
          <cell r="B96" t="str">
            <v>09</v>
          </cell>
          <cell r="C96" t="str">
            <v>08</v>
          </cell>
          <cell r="E96" t="str">
            <v>1.09.08  Perform Preliminary Make vs. Buy Analysis</v>
          </cell>
          <cell r="F96" t="str">
            <v/>
          </cell>
          <cell r="G96" t="str">
            <v/>
          </cell>
          <cell r="H96" t="str">
            <v/>
          </cell>
          <cell r="I96" t="str">
            <v>L</v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 t="str">
            <v/>
          </cell>
          <cell r="P96" t="str">
            <v/>
          </cell>
          <cell r="Q96" t="str">
            <v/>
          </cell>
          <cell r="R96" t="str">
            <v/>
          </cell>
          <cell r="S96" t="str">
            <v/>
          </cell>
          <cell r="T96" t="str">
            <v>R</v>
          </cell>
          <cell r="U96" t="str">
            <v>R</v>
          </cell>
          <cell r="V96" t="str">
            <v>R</v>
          </cell>
          <cell r="W96" t="str">
            <v>R</v>
          </cell>
          <cell r="X96">
            <v>100</v>
          </cell>
        </row>
        <row r="97">
          <cell r="A97" t="str">
            <v>1</v>
          </cell>
          <cell r="B97" t="str">
            <v>09</v>
          </cell>
          <cell r="C97" t="str">
            <v>09</v>
          </cell>
          <cell r="E97" t="str">
            <v>1.09.09  Refine BOM</v>
          </cell>
          <cell r="F97" t="str">
            <v/>
          </cell>
          <cell r="G97" t="str">
            <v/>
          </cell>
          <cell r="H97" t="str">
            <v>L</v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 t="str">
            <v/>
          </cell>
          <cell r="P97" t="str">
            <v/>
          </cell>
          <cell r="Q97" t="str">
            <v/>
          </cell>
          <cell r="R97" t="str">
            <v/>
          </cell>
          <cell r="S97" t="str">
            <v/>
          </cell>
          <cell r="T97" t="str">
            <v>R</v>
          </cell>
          <cell r="U97" t="str">
            <v/>
          </cell>
          <cell r="V97" t="str">
            <v/>
          </cell>
          <cell r="W97" t="str">
            <v/>
          </cell>
          <cell r="X97">
            <v>100</v>
          </cell>
        </row>
        <row r="98">
          <cell r="A98" t="str">
            <v>1</v>
          </cell>
          <cell r="B98" t="str">
            <v>09</v>
          </cell>
          <cell r="C98" t="str">
            <v>10</v>
          </cell>
          <cell r="E98" t="str">
            <v>1.09.10  Develop Critical Supplier Statements of Work for Production Items.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>L</v>
          </cell>
          <cell r="L98" t="str">
            <v/>
          </cell>
          <cell r="M98" t="str">
            <v/>
          </cell>
          <cell r="N98" t="str">
            <v/>
          </cell>
          <cell r="O98" t="str">
            <v/>
          </cell>
          <cell r="P98" t="str">
            <v>R</v>
          </cell>
          <cell r="Q98" t="str">
            <v>R</v>
          </cell>
          <cell r="R98" t="str">
            <v/>
          </cell>
          <cell r="S98" t="str">
            <v/>
          </cell>
          <cell r="T98" t="str">
            <v>R</v>
          </cell>
          <cell r="U98" t="str">
            <v>R</v>
          </cell>
          <cell r="V98" t="str">
            <v/>
          </cell>
          <cell r="W98" t="str">
            <v/>
          </cell>
          <cell r="X98">
            <v>100</v>
          </cell>
        </row>
        <row r="99">
          <cell r="A99" t="str">
            <v>1</v>
          </cell>
          <cell r="B99" t="str">
            <v>09</v>
          </cell>
          <cell r="C99" t="str">
            <v>11</v>
          </cell>
          <cell r="E99" t="str">
            <v>1.09.11  Develop Critical Supplier Statements of Work for Non-Production Items.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>L</v>
          </cell>
          <cell r="L99" t="str">
            <v/>
          </cell>
          <cell r="M99" t="str">
            <v/>
          </cell>
          <cell r="N99" t="str">
            <v/>
          </cell>
          <cell r="O99" t="str">
            <v/>
          </cell>
          <cell r="P99" t="str">
            <v>R</v>
          </cell>
          <cell r="Q99" t="str">
            <v>R</v>
          </cell>
          <cell r="R99" t="str">
            <v/>
          </cell>
          <cell r="S99" t="str">
            <v/>
          </cell>
          <cell r="T99" t="str">
            <v>R</v>
          </cell>
          <cell r="U99" t="str">
            <v>R</v>
          </cell>
          <cell r="V99" t="str">
            <v/>
          </cell>
          <cell r="W99" t="str">
            <v/>
          </cell>
          <cell r="X99">
            <v>100</v>
          </cell>
        </row>
        <row r="100">
          <cell r="A100" t="str">
            <v>1</v>
          </cell>
          <cell r="B100" t="str">
            <v>09</v>
          </cell>
          <cell r="C100" t="str">
            <v>12</v>
          </cell>
          <cell r="E100" t="str">
            <v>1.09.12  Refine Process Flow Chart</v>
          </cell>
          <cell r="F100" t="str">
            <v/>
          </cell>
          <cell r="G100" t="str">
            <v/>
          </cell>
          <cell r="H100" t="str">
            <v/>
          </cell>
          <cell r="I100" t="str">
            <v>L</v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 t="str">
            <v/>
          </cell>
          <cell r="P100" t="str">
            <v>R</v>
          </cell>
          <cell r="Q100" t="str">
            <v>R</v>
          </cell>
          <cell r="R100" t="str">
            <v/>
          </cell>
          <cell r="S100" t="str">
            <v/>
          </cell>
          <cell r="T100" t="str">
            <v>R</v>
          </cell>
          <cell r="U100" t="str">
            <v>R</v>
          </cell>
          <cell r="V100" t="str">
            <v/>
          </cell>
          <cell r="W100" t="str">
            <v/>
          </cell>
          <cell r="X100">
            <v>100</v>
          </cell>
        </row>
        <row r="101">
          <cell r="A101" t="str">
            <v>1</v>
          </cell>
          <cell r="B101" t="str">
            <v>10</v>
          </cell>
          <cell r="C101" t="str">
            <v/>
          </cell>
          <cell r="E101" t="str">
            <v>1.10 Preliminary Listing of Special Product and Process Characteristics (APQP 1.11)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 t="str">
            <v/>
          </cell>
          <cell r="P101" t="str">
            <v>R</v>
          </cell>
          <cell r="Q101" t="str">
            <v>R</v>
          </cell>
          <cell r="R101" t="str">
            <v/>
          </cell>
          <cell r="S101" t="str">
            <v/>
          </cell>
          <cell r="T101" t="str">
            <v>R</v>
          </cell>
          <cell r="U101" t="str">
            <v>R</v>
          </cell>
          <cell r="V101" t="str">
            <v/>
          </cell>
          <cell r="W101" t="str">
            <v/>
          </cell>
          <cell r="X101">
            <v>100</v>
          </cell>
          <cell r="Y101">
            <v>1</v>
          </cell>
        </row>
        <row r="102">
          <cell r="A102" t="str">
            <v>1</v>
          </cell>
          <cell r="B102" t="str">
            <v>10</v>
          </cell>
          <cell r="C102" t="str">
            <v>01</v>
          </cell>
          <cell r="E102" t="str">
            <v>1.10.01 Identify Preliminary Special Product Characteristics</v>
          </cell>
          <cell r="F102" t="str">
            <v/>
          </cell>
          <cell r="G102" t="str">
            <v/>
          </cell>
          <cell r="H102" t="str">
            <v>L</v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 t="str">
            <v/>
          </cell>
          <cell r="P102" t="str">
            <v>R</v>
          </cell>
          <cell r="Q102" t="str">
            <v>R</v>
          </cell>
          <cell r="R102" t="str">
            <v/>
          </cell>
          <cell r="S102" t="str">
            <v/>
          </cell>
          <cell r="T102" t="str">
            <v>R</v>
          </cell>
          <cell r="U102" t="str">
            <v>R</v>
          </cell>
          <cell r="V102" t="str">
            <v/>
          </cell>
          <cell r="W102" t="str">
            <v/>
          </cell>
          <cell r="X102">
            <v>100</v>
          </cell>
        </row>
        <row r="103">
          <cell r="A103" t="str">
            <v>1</v>
          </cell>
          <cell r="B103" t="str">
            <v>10</v>
          </cell>
          <cell r="C103" t="str">
            <v>02</v>
          </cell>
          <cell r="E103" t="str">
            <v>1.10.02  Develop Preliminary Special Process Characteristics</v>
          </cell>
          <cell r="F103" t="str">
            <v/>
          </cell>
          <cell r="G103" t="str">
            <v/>
          </cell>
          <cell r="H103" t="str">
            <v/>
          </cell>
          <cell r="I103" t="str">
            <v>L</v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 t="str">
            <v/>
          </cell>
          <cell r="P103" t="str">
            <v>R</v>
          </cell>
          <cell r="Q103" t="str">
            <v>R</v>
          </cell>
          <cell r="R103" t="str">
            <v/>
          </cell>
          <cell r="S103" t="str">
            <v/>
          </cell>
          <cell r="T103" t="str">
            <v>R</v>
          </cell>
          <cell r="U103" t="str">
            <v>R</v>
          </cell>
          <cell r="V103" t="str">
            <v/>
          </cell>
          <cell r="W103" t="str">
            <v/>
          </cell>
          <cell r="X103">
            <v>100</v>
          </cell>
        </row>
        <row r="104">
          <cell r="A104" t="str">
            <v>1</v>
          </cell>
          <cell r="B104" t="str">
            <v>11</v>
          </cell>
          <cell r="C104" t="str">
            <v/>
          </cell>
          <cell r="E104" t="str">
            <v>1.11 Product Assurance Plan (APQP 1.12)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 t="str">
            <v/>
          </cell>
          <cell r="P104" t="str">
            <v>R</v>
          </cell>
          <cell r="Q104" t="str">
            <v>R</v>
          </cell>
          <cell r="R104" t="str">
            <v>R</v>
          </cell>
          <cell r="S104" t="str">
            <v/>
          </cell>
          <cell r="T104" t="str">
            <v>R</v>
          </cell>
          <cell r="U104" t="str">
            <v>R</v>
          </cell>
          <cell r="V104" t="str">
            <v>R</v>
          </cell>
          <cell r="W104" t="str">
            <v/>
          </cell>
          <cell r="X104">
            <v>100</v>
          </cell>
          <cell r="Y104">
            <v>1</v>
          </cell>
        </row>
        <row r="105">
          <cell r="A105" t="str">
            <v>1</v>
          </cell>
          <cell r="B105" t="str">
            <v>11</v>
          </cell>
          <cell r="C105" t="str">
            <v>01</v>
          </cell>
          <cell r="E105" t="str">
            <v>1.11.01  Develop Preliminary DVP</v>
          </cell>
          <cell r="F105" t="str">
            <v/>
          </cell>
          <cell r="G105" t="str">
            <v/>
          </cell>
          <cell r="H105" t="str">
            <v>L</v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 t="str">
            <v/>
          </cell>
          <cell r="P105" t="str">
            <v>R</v>
          </cell>
          <cell r="Q105" t="str">
            <v>R</v>
          </cell>
          <cell r="R105" t="str">
            <v/>
          </cell>
          <cell r="S105" t="str">
            <v/>
          </cell>
          <cell r="T105" t="str">
            <v>R</v>
          </cell>
          <cell r="U105" t="str">
            <v>R</v>
          </cell>
          <cell r="V105" t="str">
            <v/>
          </cell>
          <cell r="W105" t="str">
            <v/>
          </cell>
          <cell r="X105">
            <v>100</v>
          </cell>
        </row>
        <row r="106">
          <cell r="A106" t="str">
            <v>1</v>
          </cell>
          <cell r="B106" t="str">
            <v>11</v>
          </cell>
          <cell r="C106" t="str">
            <v>02</v>
          </cell>
          <cell r="E106" t="str">
            <v>1.11.02  Perform Critical Design Analyses</v>
          </cell>
          <cell r="F106" t="str">
            <v/>
          </cell>
          <cell r="G106" t="str">
            <v/>
          </cell>
          <cell r="H106" t="str">
            <v>L</v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 t="str">
            <v/>
          </cell>
          <cell r="P106" t="str">
            <v/>
          </cell>
          <cell r="Q106" t="str">
            <v/>
          </cell>
          <cell r="R106" t="str">
            <v/>
          </cell>
          <cell r="S106" t="str">
            <v/>
          </cell>
          <cell r="T106" t="str">
            <v>R</v>
          </cell>
          <cell r="U106" t="str">
            <v/>
          </cell>
          <cell r="V106" t="str">
            <v/>
          </cell>
          <cell r="W106" t="str">
            <v/>
          </cell>
          <cell r="X106">
            <v>100</v>
          </cell>
        </row>
        <row r="107">
          <cell r="A107" t="str">
            <v>1</v>
          </cell>
          <cell r="B107" t="str">
            <v>11</v>
          </cell>
          <cell r="C107" t="str">
            <v>03</v>
          </cell>
          <cell r="E107" t="str">
            <v>1.11.03 Perform Product Design Tolerance Review</v>
          </cell>
          <cell r="F107" t="str">
            <v/>
          </cell>
          <cell r="G107" t="str">
            <v/>
          </cell>
          <cell r="H107" t="str">
            <v>L</v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 t="str">
            <v/>
          </cell>
          <cell r="P107" t="str">
            <v/>
          </cell>
          <cell r="Q107" t="str">
            <v/>
          </cell>
          <cell r="R107" t="str">
            <v/>
          </cell>
          <cell r="S107" t="str">
            <v/>
          </cell>
          <cell r="T107" t="str">
            <v>R</v>
          </cell>
          <cell r="U107" t="str">
            <v/>
          </cell>
          <cell r="V107" t="str">
            <v/>
          </cell>
          <cell r="W107" t="str">
            <v/>
          </cell>
          <cell r="X107">
            <v>100</v>
          </cell>
        </row>
        <row r="108">
          <cell r="A108" t="str">
            <v>1</v>
          </cell>
          <cell r="B108" t="str">
            <v>11</v>
          </cell>
          <cell r="C108" t="str">
            <v>04</v>
          </cell>
          <cell r="E108" t="str">
            <v>1.11.04  Perform Critical Assembly Tolerance Review</v>
          </cell>
          <cell r="F108" t="str">
            <v/>
          </cell>
          <cell r="G108" t="str">
            <v/>
          </cell>
          <cell r="H108" t="str">
            <v>L</v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 t="str">
            <v/>
          </cell>
          <cell r="P108" t="str">
            <v/>
          </cell>
          <cell r="Q108" t="str">
            <v/>
          </cell>
          <cell r="R108" t="str">
            <v/>
          </cell>
          <cell r="S108" t="str">
            <v/>
          </cell>
          <cell r="T108" t="str">
            <v>R</v>
          </cell>
          <cell r="U108" t="str">
            <v/>
          </cell>
          <cell r="V108" t="str">
            <v/>
          </cell>
          <cell r="W108" t="str">
            <v/>
          </cell>
          <cell r="X108">
            <v>100</v>
          </cell>
        </row>
        <row r="109">
          <cell r="A109" t="str">
            <v>1</v>
          </cell>
          <cell r="B109" t="str">
            <v>11</v>
          </cell>
          <cell r="C109" t="str">
            <v>05</v>
          </cell>
          <cell r="E109" t="str">
            <v>1.11.05  Review Baseline DFM/DFAs</v>
          </cell>
          <cell r="F109" t="str">
            <v/>
          </cell>
          <cell r="G109" t="str">
            <v/>
          </cell>
          <cell r="H109" t="str">
            <v>L</v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 t="str">
            <v/>
          </cell>
          <cell r="P109" t="str">
            <v/>
          </cell>
          <cell r="Q109" t="str">
            <v/>
          </cell>
          <cell r="R109" t="str">
            <v/>
          </cell>
          <cell r="S109" t="str">
            <v/>
          </cell>
          <cell r="T109" t="str">
            <v>R</v>
          </cell>
          <cell r="U109" t="str">
            <v/>
          </cell>
          <cell r="V109" t="str">
            <v/>
          </cell>
          <cell r="W109" t="str">
            <v/>
          </cell>
          <cell r="X109">
            <v>100</v>
          </cell>
        </row>
        <row r="110">
          <cell r="A110" t="str">
            <v>1</v>
          </cell>
          <cell r="B110" t="str">
            <v>11</v>
          </cell>
          <cell r="C110" t="str">
            <v>06</v>
          </cell>
          <cell r="E110" t="str">
            <v>1.11.06 Review Baseline DFMEAs</v>
          </cell>
          <cell r="F110" t="str">
            <v/>
          </cell>
          <cell r="G110" t="str">
            <v/>
          </cell>
          <cell r="H110" t="str">
            <v>L</v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 t="str">
            <v/>
          </cell>
          <cell r="P110" t="str">
            <v/>
          </cell>
          <cell r="Q110" t="str">
            <v/>
          </cell>
          <cell r="R110" t="str">
            <v/>
          </cell>
          <cell r="S110" t="str">
            <v/>
          </cell>
          <cell r="T110" t="str">
            <v>R</v>
          </cell>
          <cell r="U110" t="str">
            <v>R</v>
          </cell>
          <cell r="V110" t="str">
            <v>R</v>
          </cell>
          <cell r="W110" t="str">
            <v>R</v>
          </cell>
          <cell r="X110">
            <v>100</v>
          </cell>
        </row>
        <row r="111">
          <cell r="A111" t="str">
            <v>1</v>
          </cell>
          <cell r="B111" t="str">
            <v>11</v>
          </cell>
          <cell r="C111" t="str">
            <v>07</v>
          </cell>
          <cell r="E111" t="str">
            <v>1.11.07  Perform Concept Design Review</v>
          </cell>
          <cell r="F111" t="str">
            <v/>
          </cell>
          <cell r="G111" t="str">
            <v>L</v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 t="str">
            <v/>
          </cell>
          <cell r="P111" t="str">
            <v>R</v>
          </cell>
          <cell r="Q111" t="str">
            <v/>
          </cell>
          <cell r="R111" t="str">
            <v/>
          </cell>
          <cell r="S111" t="str">
            <v/>
          </cell>
          <cell r="T111" t="str">
            <v>R</v>
          </cell>
          <cell r="U111" t="str">
            <v>R</v>
          </cell>
          <cell r="V111" t="str">
            <v>R</v>
          </cell>
          <cell r="W111" t="str">
            <v>R</v>
          </cell>
          <cell r="X111">
            <v>100</v>
          </cell>
        </row>
        <row r="112">
          <cell r="A112" t="str">
            <v>1</v>
          </cell>
          <cell r="B112" t="str">
            <v>11</v>
          </cell>
          <cell r="C112" t="str">
            <v>08</v>
          </cell>
          <cell r="E112" t="str">
            <v>1.11.08  Refine BOM</v>
          </cell>
          <cell r="F112" t="str">
            <v/>
          </cell>
          <cell r="G112" t="str">
            <v/>
          </cell>
          <cell r="H112" t="str">
            <v>L</v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 t="str">
            <v/>
          </cell>
          <cell r="P112" t="str">
            <v>R</v>
          </cell>
          <cell r="Q112" t="str">
            <v>R</v>
          </cell>
          <cell r="R112" t="str">
            <v>R</v>
          </cell>
          <cell r="S112" t="str">
            <v/>
          </cell>
          <cell r="T112" t="str">
            <v>R</v>
          </cell>
          <cell r="U112" t="str">
            <v>R</v>
          </cell>
          <cell r="V112" t="str">
            <v>R</v>
          </cell>
          <cell r="W112" t="str">
            <v/>
          </cell>
          <cell r="X112">
            <v>100</v>
          </cell>
        </row>
        <row r="113">
          <cell r="A113" t="str">
            <v>1</v>
          </cell>
          <cell r="B113" t="str">
            <v>11</v>
          </cell>
          <cell r="C113" t="str">
            <v>09</v>
          </cell>
          <cell r="E113" t="str">
            <v>1.11.09  Refine Product Performance Requirements</v>
          </cell>
          <cell r="F113" t="str">
            <v/>
          </cell>
          <cell r="G113" t="str">
            <v>L</v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 t="str">
            <v/>
          </cell>
          <cell r="P113" t="str">
            <v>R</v>
          </cell>
          <cell r="Q113" t="str">
            <v>R</v>
          </cell>
          <cell r="R113" t="str">
            <v/>
          </cell>
          <cell r="S113" t="str">
            <v/>
          </cell>
          <cell r="T113" t="str">
            <v>R</v>
          </cell>
          <cell r="U113" t="str">
            <v>R</v>
          </cell>
          <cell r="V113" t="str">
            <v/>
          </cell>
          <cell r="W113" t="str">
            <v/>
          </cell>
          <cell r="X113">
            <v>100</v>
          </cell>
        </row>
        <row r="114">
          <cell r="A114" t="str">
            <v>1</v>
          </cell>
          <cell r="B114" t="str">
            <v>11</v>
          </cell>
          <cell r="C114" t="str">
            <v>10</v>
          </cell>
          <cell r="E114" t="str">
            <v>1.11.10  Investigate Intellectual Property Rights (IPR)</v>
          </cell>
          <cell r="F114" t="str">
            <v/>
          </cell>
          <cell r="G114" t="str">
            <v/>
          </cell>
          <cell r="H114" t="str">
            <v>L</v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 t="str">
            <v/>
          </cell>
          <cell r="P114" t="str">
            <v/>
          </cell>
          <cell r="Q114" t="str">
            <v/>
          </cell>
          <cell r="R114" t="str">
            <v/>
          </cell>
          <cell r="S114" t="str">
            <v/>
          </cell>
          <cell r="T114" t="str">
            <v>R</v>
          </cell>
          <cell r="U114" t="str">
            <v/>
          </cell>
          <cell r="V114" t="str">
            <v/>
          </cell>
          <cell r="W114" t="str">
            <v/>
          </cell>
          <cell r="X114">
            <v>100</v>
          </cell>
        </row>
        <row r="115">
          <cell r="A115" t="str">
            <v>1</v>
          </cell>
          <cell r="B115" t="str">
            <v>12</v>
          </cell>
          <cell r="C115" t="str">
            <v/>
          </cell>
          <cell r="E115" t="str">
            <v>1.12 Project Authorization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 t="str">
            <v/>
          </cell>
          <cell r="P115" t="str">
            <v>R</v>
          </cell>
          <cell r="Q115" t="str">
            <v>R</v>
          </cell>
          <cell r="R115" t="str">
            <v/>
          </cell>
          <cell r="S115" t="str">
            <v/>
          </cell>
          <cell r="T115" t="str">
            <v>R</v>
          </cell>
          <cell r="U115" t="str">
            <v>R</v>
          </cell>
          <cell r="V115" t="str">
            <v/>
          </cell>
          <cell r="W115" t="str">
            <v/>
          </cell>
          <cell r="X115">
            <v>100</v>
          </cell>
          <cell r="Y115">
            <v>1</v>
          </cell>
        </row>
        <row r="116">
          <cell r="A116" t="str">
            <v>1</v>
          </cell>
          <cell r="B116" t="str">
            <v>12</v>
          </cell>
          <cell r="C116" t="str">
            <v>01</v>
          </cell>
          <cell r="E116" t="str">
            <v>1.12.01  Define Project Activities &amp; Outputs</v>
          </cell>
          <cell r="F116" t="str">
            <v/>
          </cell>
          <cell r="G116" t="str">
            <v>L</v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 t="str">
            <v/>
          </cell>
          <cell r="P116" t="str">
            <v/>
          </cell>
          <cell r="Q116" t="str">
            <v/>
          </cell>
          <cell r="R116" t="str">
            <v/>
          </cell>
          <cell r="S116" t="str">
            <v/>
          </cell>
          <cell r="T116" t="str">
            <v>R</v>
          </cell>
          <cell r="U116" t="str">
            <v/>
          </cell>
          <cell r="V116" t="str">
            <v/>
          </cell>
          <cell r="W116" t="str">
            <v/>
          </cell>
          <cell r="X116">
            <v>100</v>
          </cell>
        </row>
        <row r="117">
          <cell r="A117" t="str">
            <v>1</v>
          </cell>
          <cell r="B117" t="str">
            <v>12</v>
          </cell>
          <cell r="C117" t="str">
            <v>02</v>
          </cell>
          <cell r="E117" t="str">
            <v>1.12.02  Refine Project Plan</v>
          </cell>
          <cell r="F117" t="str">
            <v/>
          </cell>
          <cell r="G117" t="str">
            <v>L</v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 t="str">
            <v/>
          </cell>
          <cell r="P117" t="str">
            <v>R</v>
          </cell>
          <cell r="Q117" t="str">
            <v>R</v>
          </cell>
          <cell r="R117" t="str">
            <v/>
          </cell>
          <cell r="S117" t="str">
            <v/>
          </cell>
          <cell r="T117" t="str">
            <v>R</v>
          </cell>
          <cell r="U117" t="str">
            <v>R</v>
          </cell>
          <cell r="V117" t="str">
            <v>R</v>
          </cell>
          <cell r="W117" t="str">
            <v>R</v>
          </cell>
          <cell r="X117">
            <v>100</v>
          </cell>
        </row>
        <row r="118">
          <cell r="A118" t="str">
            <v>1</v>
          </cell>
          <cell r="B118" t="str">
            <v>12</v>
          </cell>
          <cell r="C118" t="str">
            <v>03</v>
          </cell>
          <cell r="E118" t="str">
            <v>1.12.03 Establish Engineering Parts &amp; Test/Analysis Costs</v>
          </cell>
          <cell r="F118" t="str">
            <v/>
          </cell>
          <cell r="G118" t="str">
            <v/>
          </cell>
          <cell r="H118" t="str">
            <v>L</v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 t="str">
            <v/>
          </cell>
          <cell r="P118" t="str">
            <v/>
          </cell>
          <cell r="Q118" t="str">
            <v/>
          </cell>
          <cell r="R118" t="str">
            <v/>
          </cell>
          <cell r="S118" t="str">
            <v/>
          </cell>
          <cell r="T118" t="str">
            <v>R</v>
          </cell>
          <cell r="U118" t="str">
            <v/>
          </cell>
          <cell r="V118" t="str">
            <v/>
          </cell>
          <cell r="W118" t="str">
            <v/>
          </cell>
          <cell r="X118">
            <v>100</v>
          </cell>
        </row>
        <row r="119">
          <cell r="A119" t="str">
            <v>1</v>
          </cell>
          <cell r="B119" t="str">
            <v>12</v>
          </cell>
          <cell r="C119" t="str">
            <v>04</v>
          </cell>
          <cell r="E119" t="str">
            <v>1.12.04  Refine Project Costs and Assumptions</v>
          </cell>
          <cell r="F119" t="str">
            <v/>
          </cell>
          <cell r="G119" t="str">
            <v>L</v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 t="str">
            <v/>
          </cell>
          <cell r="P119" t="str">
            <v/>
          </cell>
          <cell r="Q119" t="str">
            <v/>
          </cell>
          <cell r="R119" t="str">
            <v/>
          </cell>
          <cell r="S119" t="str">
            <v/>
          </cell>
          <cell r="T119" t="str">
            <v>R</v>
          </cell>
          <cell r="U119" t="str">
            <v/>
          </cell>
          <cell r="V119" t="str">
            <v/>
          </cell>
          <cell r="W119" t="str">
            <v/>
          </cell>
          <cell r="X119">
            <v>100</v>
          </cell>
        </row>
        <row r="120">
          <cell r="A120" t="str">
            <v>1</v>
          </cell>
          <cell r="B120" t="str">
            <v>12</v>
          </cell>
          <cell r="C120" t="str">
            <v>05</v>
          </cell>
          <cell r="E120" t="str">
            <v>1.12.05  Establish Project Budget</v>
          </cell>
          <cell r="F120" t="str">
            <v/>
          </cell>
          <cell r="G120" t="str">
            <v>L</v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 t="str">
            <v/>
          </cell>
          <cell r="P120" t="str">
            <v/>
          </cell>
          <cell r="Q120" t="str">
            <v/>
          </cell>
          <cell r="R120" t="str">
            <v/>
          </cell>
          <cell r="S120" t="str">
            <v/>
          </cell>
          <cell r="T120" t="str">
            <v>R</v>
          </cell>
          <cell r="U120" t="str">
            <v/>
          </cell>
          <cell r="V120" t="str">
            <v/>
          </cell>
          <cell r="W120" t="str">
            <v/>
          </cell>
          <cell r="X120">
            <v>100</v>
          </cell>
        </row>
        <row r="121">
          <cell r="A121" t="str">
            <v>1</v>
          </cell>
          <cell r="B121" t="str">
            <v>12</v>
          </cell>
          <cell r="C121" t="str">
            <v>06</v>
          </cell>
          <cell r="E121" t="str">
            <v>1.12.06  Review Project Budgets with Functional Management</v>
          </cell>
          <cell r="F121" t="str">
            <v/>
          </cell>
          <cell r="G121" t="str">
            <v>L</v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 t="str">
            <v/>
          </cell>
          <cell r="P121" t="str">
            <v/>
          </cell>
          <cell r="Q121" t="str">
            <v/>
          </cell>
          <cell r="R121" t="str">
            <v/>
          </cell>
          <cell r="S121" t="str">
            <v/>
          </cell>
          <cell r="T121" t="str">
            <v>R</v>
          </cell>
          <cell r="U121" t="str">
            <v/>
          </cell>
          <cell r="V121" t="str">
            <v/>
          </cell>
          <cell r="W121" t="str">
            <v/>
          </cell>
          <cell r="X121">
            <v>100</v>
          </cell>
        </row>
        <row r="122">
          <cell r="A122" t="str">
            <v>1</v>
          </cell>
          <cell r="B122" t="str">
            <v>12</v>
          </cell>
          <cell r="C122" t="str">
            <v>07</v>
          </cell>
          <cell r="E122" t="str">
            <v>1.12.07  Refine the Initial Return Map</v>
          </cell>
          <cell r="F122" t="str">
            <v/>
          </cell>
          <cell r="G122" t="str">
            <v>L</v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 t="str">
            <v/>
          </cell>
          <cell r="P122" t="str">
            <v>R</v>
          </cell>
          <cell r="Q122" t="str">
            <v>R</v>
          </cell>
          <cell r="R122" t="str">
            <v/>
          </cell>
          <cell r="S122" t="str">
            <v/>
          </cell>
          <cell r="T122" t="str">
            <v>R</v>
          </cell>
          <cell r="U122" t="str">
            <v>R</v>
          </cell>
          <cell r="V122" t="str">
            <v/>
          </cell>
          <cell r="W122" t="str">
            <v/>
          </cell>
          <cell r="X122">
            <v>100</v>
          </cell>
        </row>
        <row r="123">
          <cell r="A123" t="str">
            <v>1</v>
          </cell>
          <cell r="B123" t="str">
            <v>12</v>
          </cell>
          <cell r="C123" t="str">
            <v>08</v>
          </cell>
          <cell r="E123" t="str">
            <v xml:space="preserve">1.12.08  Evaluate Project Feasibility </v>
          </cell>
          <cell r="F123" t="str">
            <v/>
          </cell>
          <cell r="G123" t="str">
            <v>L</v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 t="str">
            <v/>
          </cell>
          <cell r="P123" t="str">
            <v/>
          </cell>
          <cell r="Q123" t="str">
            <v/>
          </cell>
          <cell r="R123" t="str">
            <v/>
          </cell>
          <cell r="S123" t="str">
            <v/>
          </cell>
          <cell r="T123" t="str">
            <v>R</v>
          </cell>
          <cell r="U123" t="str">
            <v>R</v>
          </cell>
          <cell r="V123" t="str">
            <v>R</v>
          </cell>
          <cell r="W123" t="str">
            <v>R</v>
          </cell>
          <cell r="X123">
            <v>100</v>
          </cell>
        </row>
        <row r="124">
          <cell r="A124" t="str">
            <v>1</v>
          </cell>
          <cell r="B124" t="str">
            <v>12</v>
          </cell>
          <cell r="C124" t="str">
            <v>09</v>
          </cell>
          <cell r="E124" t="str">
            <v>1.12.09  Obtain Project Authorization</v>
          </cell>
          <cell r="F124" t="str">
            <v/>
          </cell>
          <cell r="G124" t="str">
            <v>L</v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 t="str">
            <v/>
          </cell>
          <cell r="P124" t="str">
            <v>R</v>
          </cell>
          <cell r="Q124" t="str">
            <v>R</v>
          </cell>
          <cell r="R124" t="str">
            <v/>
          </cell>
          <cell r="S124" t="str">
            <v/>
          </cell>
          <cell r="T124" t="str">
            <v>R</v>
          </cell>
          <cell r="U124" t="str">
            <v>R</v>
          </cell>
          <cell r="V124" t="str">
            <v/>
          </cell>
          <cell r="W124" t="str">
            <v/>
          </cell>
          <cell r="X124">
            <v>100</v>
          </cell>
        </row>
        <row r="125">
          <cell r="A125" t="str">
            <v>1</v>
          </cell>
          <cell r="B125" t="str">
            <v>12</v>
          </cell>
          <cell r="C125" t="str">
            <v>10</v>
          </cell>
          <cell r="E125" t="str">
            <v>1.12.10  Develop Preliminary AR</v>
          </cell>
          <cell r="F125" t="str">
            <v/>
          </cell>
          <cell r="G125" t="str">
            <v>L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 t="str">
            <v/>
          </cell>
          <cell r="P125" t="str">
            <v>R</v>
          </cell>
          <cell r="Q125" t="str">
            <v>R</v>
          </cell>
          <cell r="R125" t="str">
            <v/>
          </cell>
          <cell r="S125" t="str">
            <v/>
          </cell>
          <cell r="T125" t="str">
            <v>R</v>
          </cell>
          <cell r="U125" t="str">
            <v>R</v>
          </cell>
          <cell r="V125" t="str">
            <v/>
          </cell>
          <cell r="W125" t="str">
            <v/>
          </cell>
          <cell r="X125">
            <v>100</v>
          </cell>
        </row>
        <row r="126">
          <cell r="A126" t="str">
            <v>1</v>
          </cell>
          <cell r="B126" t="str">
            <v>13</v>
          </cell>
          <cell r="C126" t="str">
            <v/>
          </cell>
          <cell r="E126" t="str">
            <v>1.13 Management Support (APQP 1.13)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 t="str">
            <v/>
          </cell>
          <cell r="P126" t="str">
            <v>R</v>
          </cell>
          <cell r="Q126" t="str">
            <v>R</v>
          </cell>
          <cell r="R126" t="str">
            <v/>
          </cell>
          <cell r="S126" t="str">
            <v/>
          </cell>
          <cell r="T126" t="str">
            <v>R</v>
          </cell>
          <cell r="U126" t="str">
            <v>R</v>
          </cell>
          <cell r="V126" t="str">
            <v>R</v>
          </cell>
          <cell r="W126" t="str">
            <v>R</v>
          </cell>
          <cell r="X126">
            <v>100</v>
          </cell>
          <cell r="Y126">
            <v>1</v>
          </cell>
        </row>
        <row r="127">
          <cell r="A127" t="str">
            <v>1</v>
          </cell>
          <cell r="B127" t="str">
            <v>13</v>
          </cell>
          <cell r="C127" t="str">
            <v>01</v>
          </cell>
          <cell r="E127" t="str">
            <v>1.13.01  Conduct Phase 1 Gate Review</v>
          </cell>
          <cell r="F127" t="str">
            <v/>
          </cell>
          <cell r="G127" t="str">
            <v>L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 t="str">
            <v/>
          </cell>
          <cell r="P127" t="str">
            <v>R</v>
          </cell>
          <cell r="Q127" t="str">
            <v>R</v>
          </cell>
          <cell r="R127" t="str">
            <v/>
          </cell>
          <cell r="S127" t="str">
            <v/>
          </cell>
          <cell r="T127" t="str">
            <v>R</v>
          </cell>
          <cell r="U127" t="str">
            <v>R</v>
          </cell>
          <cell r="V127" t="str">
            <v>R</v>
          </cell>
          <cell r="W127" t="str">
            <v>R</v>
          </cell>
          <cell r="X127">
            <v>100</v>
          </cell>
        </row>
        <row r="128">
          <cell r="A128">
            <v>999</v>
          </cell>
          <cell r="B128">
            <v>999</v>
          </cell>
          <cell r="C128">
            <v>999</v>
          </cell>
          <cell r="E128" t="str">
            <v/>
          </cell>
          <cell r="P128" t="str">
            <v/>
          </cell>
          <cell r="Q128" t="str">
            <v/>
          </cell>
          <cell r="R128" t="str">
            <v/>
          </cell>
          <cell r="S128" t="str">
            <v/>
          </cell>
          <cell r="T128" t="str">
            <v/>
          </cell>
          <cell r="U128" t="str">
            <v/>
          </cell>
          <cell r="V128" t="str">
            <v/>
          </cell>
          <cell r="W128" t="str">
            <v/>
          </cell>
        </row>
        <row r="129">
          <cell r="A129">
            <v>2</v>
          </cell>
          <cell r="B129" t="str">
            <v>tete</v>
          </cell>
          <cell r="C129" t="str">
            <v/>
          </cell>
          <cell r="E129" t="str">
            <v>PHASE 2: PRODUCT DESIGN AND DEVELOPMENT</v>
          </cell>
          <cell r="G129">
            <v>1</v>
          </cell>
          <cell r="H129">
            <v>1</v>
          </cell>
          <cell r="I129">
            <v>1</v>
          </cell>
          <cell r="J129">
            <v>1</v>
          </cell>
          <cell r="K129">
            <v>1</v>
          </cell>
          <cell r="L129">
            <v>1</v>
          </cell>
          <cell r="P129" t="str">
            <v/>
          </cell>
          <cell r="Q129" t="str">
            <v/>
          </cell>
          <cell r="R129" t="str">
            <v/>
          </cell>
          <cell r="S129" t="str">
            <v/>
          </cell>
          <cell r="T129" t="str">
            <v>R</v>
          </cell>
          <cell r="U129" t="str">
            <v>R</v>
          </cell>
          <cell r="V129" t="str">
            <v>R</v>
          </cell>
          <cell r="W129" t="str">
            <v>R</v>
          </cell>
          <cell r="Y129">
            <v>1</v>
          </cell>
        </row>
        <row r="130">
          <cell r="A130" t="str">
            <v>2</v>
          </cell>
          <cell r="B130" t="str">
            <v>00</v>
          </cell>
          <cell r="C130" t="str">
            <v/>
          </cell>
          <cell r="E130" t="str">
            <v>2.00 Customer Quote and Contract Approval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 t="str">
            <v/>
          </cell>
          <cell r="P130" t="str">
            <v>R</v>
          </cell>
          <cell r="Q130" t="str">
            <v>R</v>
          </cell>
          <cell r="R130" t="str">
            <v/>
          </cell>
          <cell r="S130" t="str">
            <v/>
          </cell>
          <cell r="T130" t="str">
            <v>R</v>
          </cell>
          <cell r="U130" t="str">
            <v>R</v>
          </cell>
          <cell r="V130" t="str">
            <v/>
          </cell>
          <cell r="W130" t="str">
            <v/>
          </cell>
          <cell r="Y130">
            <v>1</v>
          </cell>
        </row>
        <row r="131">
          <cell r="A131" t="str">
            <v>2</v>
          </cell>
          <cell r="B131" t="str">
            <v>00</v>
          </cell>
          <cell r="C131" t="str">
            <v>01</v>
          </cell>
          <cell r="E131" t="str">
            <v>2.00.01  Submit Quote to Customer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>L</v>
          </cell>
          <cell r="M131" t="str">
            <v/>
          </cell>
          <cell r="N131" t="str">
            <v/>
          </cell>
          <cell r="O131" t="str">
            <v/>
          </cell>
          <cell r="P131" t="str">
            <v/>
          </cell>
          <cell r="Q131" t="str">
            <v/>
          </cell>
          <cell r="R131" t="str">
            <v/>
          </cell>
          <cell r="S131" t="str">
            <v/>
          </cell>
          <cell r="T131" t="str">
            <v>R</v>
          </cell>
          <cell r="U131" t="str">
            <v/>
          </cell>
          <cell r="V131" t="str">
            <v/>
          </cell>
          <cell r="W131" t="str">
            <v/>
          </cell>
          <cell r="X131">
            <v>100</v>
          </cell>
        </row>
        <row r="132">
          <cell r="A132" t="str">
            <v>2</v>
          </cell>
          <cell r="B132" t="str">
            <v>00</v>
          </cell>
          <cell r="C132" t="str">
            <v>02</v>
          </cell>
          <cell r="E132" t="str">
            <v>2.00.02  Establish Customer Invoicing &amp; Payment System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>L</v>
          </cell>
          <cell r="M132" t="str">
            <v/>
          </cell>
          <cell r="N132" t="str">
            <v/>
          </cell>
          <cell r="O132" t="str">
            <v/>
          </cell>
          <cell r="P132" t="str">
            <v/>
          </cell>
          <cell r="Q132" t="str">
            <v/>
          </cell>
          <cell r="R132" t="str">
            <v/>
          </cell>
          <cell r="S132" t="str">
            <v/>
          </cell>
          <cell r="T132" t="str">
            <v>R</v>
          </cell>
          <cell r="U132" t="str">
            <v/>
          </cell>
          <cell r="V132" t="str">
            <v/>
          </cell>
          <cell r="W132" t="str">
            <v/>
          </cell>
          <cell r="X132">
            <v>100</v>
          </cell>
        </row>
        <row r="133">
          <cell r="A133" t="str">
            <v>2</v>
          </cell>
          <cell r="B133" t="str">
            <v>00</v>
          </cell>
          <cell r="C133" t="str">
            <v>03</v>
          </cell>
          <cell r="E133" t="str">
            <v>2.00.03  Obtain Customer Quote Feedback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>L</v>
          </cell>
          <cell r="M133" t="str">
            <v/>
          </cell>
          <cell r="N133" t="str">
            <v/>
          </cell>
          <cell r="O133" t="str">
            <v/>
          </cell>
          <cell r="P133" t="str">
            <v>R</v>
          </cell>
          <cell r="Q133" t="str">
            <v>R</v>
          </cell>
          <cell r="R133" t="str">
            <v/>
          </cell>
          <cell r="S133" t="str">
            <v/>
          </cell>
          <cell r="T133" t="str">
            <v>R</v>
          </cell>
          <cell r="U133" t="str">
            <v>R</v>
          </cell>
          <cell r="V133" t="str">
            <v>R</v>
          </cell>
          <cell r="W133" t="str">
            <v>R</v>
          </cell>
          <cell r="X133">
            <v>100</v>
          </cell>
        </row>
        <row r="134">
          <cell r="A134" t="str">
            <v>2</v>
          </cell>
          <cell r="B134" t="str">
            <v>00</v>
          </cell>
          <cell r="C134" t="str">
            <v>04</v>
          </cell>
          <cell r="E134" t="str">
            <v>2.00.04  Define New Electronic Interfaces</v>
          </cell>
          <cell r="F134" t="str">
            <v/>
          </cell>
          <cell r="G134" t="str">
            <v>L</v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 t="str">
            <v/>
          </cell>
          <cell r="P134" t="str">
            <v/>
          </cell>
          <cell r="Q134" t="str">
            <v/>
          </cell>
          <cell r="R134" t="str">
            <v/>
          </cell>
          <cell r="S134" t="str">
            <v/>
          </cell>
          <cell r="T134" t="str">
            <v>R</v>
          </cell>
          <cell r="U134" t="str">
            <v/>
          </cell>
          <cell r="V134" t="str">
            <v/>
          </cell>
          <cell r="W134" t="str">
            <v/>
          </cell>
          <cell r="X134">
            <v>100</v>
          </cell>
        </row>
        <row r="135">
          <cell r="A135" t="str">
            <v>2</v>
          </cell>
          <cell r="B135" t="str">
            <v>00</v>
          </cell>
          <cell r="C135" t="str">
            <v>05</v>
          </cell>
          <cell r="E135" t="str">
            <v>2.00.05  Review Customer Contract Terms &amp; Conditions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>L</v>
          </cell>
          <cell r="M135" t="str">
            <v/>
          </cell>
          <cell r="N135" t="str">
            <v/>
          </cell>
          <cell r="O135" t="str">
            <v/>
          </cell>
          <cell r="P135" t="str">
            <v/>
          </cell>
          <cell r="Q135" t="str">
            <v/>
          </cell>
          <cell r="R135" t="str">
            <v/>
          </cell>
          <cell r="S135" t="str">
            <v/>
          </cell>
          <cell r="T135" t="str">
            <v>R</v>
          </cell>
          <cell r="U135" t="str">
            <v/>
          </cell>
          <cell r="V135" t="str">
            <v/>
          </cell>
          <cell r="W135" t="str">
            <v/>
          </cell>
          <cell r="X135">
            <v>100</v>
          </cell>
        </row>
        <row r="136">
          <cell r="A136" t="str">
            <v>2</v>
          </cell>
          <cell r="B136" t="str">
            <v>00</v>
          </cell>
          <cell r="C136" t="str">
            <v>06</v>
          </cell>
          <cell r="E136" t="str">
            <v>2.00.06  Resolve Customer Contract Issues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>L</v>
          </cell>
          <cell r="M136" t="str">
            <v/>
          </cell>
          <cell r="N136" t="str">
            <v/>
          </cell>
          <cell r="O136" t="str">
            <v/>
          </cell>
          <cell r="P136" t="str">
            <v/>
          </cell>
          <cell r="Q136" t="str">
            <v/>
          </cell>
          <cell r="R136" t="str">
            <v/>
          </cell>
          <cell r="S136" t="str">
            <v/>
          </cell>
          <cell r="T136" t="str">
            <v>R</v>
          </cell>
          <cell r="U136" t="str">
            <v/>
          </cell>
          <cell r="V136" t="str">
            <v/>
          </cell>
          <cell r="W136" t="str">
            <v/>
          </cell>
          <cell r="X136">
            <v>100</v>
          </cell>
        </row>
        <row r="137">
          <cell r="A137" t="str">
            <v>2</v>
          </cell>
          <cell r="B137" t="str">
            <v>00</v>
          </cell>
          <cell r="C137" t="str">
            <v>07</v>
          </cell>
          <cell r="E137" t="str">
            <v>2.00.07  Establish Project Baseline</v>
          </cell>
          <cell r="F137" t="str">
            <v/>
          </cell>
          <cell r="G137" t="str">
            <v>L</v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 t="str">
            <v/>
          </cell>
          <cell r="P137" t="str">
            <v>R</v>
          </cell>
          <cell r="Q137" t="str">
            <v>R</v>
          </cell>
          <cell r="R137" t="str">
            <v/>
          </cell>
          <cell r="S137" t="str">
            <v/>
          </cell>
          <cell r="T137" t="str">
            <v>R</v>
          </cell>
          <cell r="U137" t="str">
            <v>R</v>
          </cell>
          <cell r="V137" t="str">
            <v/>
          </cell>
          <cell r="W137" t="str">
            <v/>
          </cell>
          <cell r="X137">
            <v>100</v>
          </cell>
        </row>
        <row r="138">
          <cell r="A138" t="str">
            <v>2</v>
          </cell>
          <cell r="B138" t="str">
            <v>00</v>
          </cell>
          <cell r="C138" t="str">
            <v>08</v>
          </cell>
          <cell r="E138" t="str">
            <v>2.00.08  Update Project Scope &amp; Plan</v>
          </cell>
          <cell r="F138" t="str">
            <v/>
          </cell>
          <cell r="G138" t="str">
            <v>L</v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 t="str">
            <v/>
          </cell>
          <cell r="P138" t="str">
            <v>R</v>
          </cell>
          <cell r="Q138" t="str">
            <v>R</v>
          </cell>
          <cell r="R138" t="str">
            <v/>
          </cell>
          <cell r="S138" t="str">
            <v/>
          </cell>
          <cell r="T138" t="str">
            <v>R</v>
          </cell>
          <cell r="U138" t="str">
            <v>R</v>
          </cell>
          <cell r="V138" t="str">
            <v/>
          </cell>
          <cell r="W138" t="str">
            <v/>
          </cell>
          <cell r="X138">
            <v>100</v>
          </cell>
        </row>
        <row r="139">
          <cell r="A139" t="str">
            <v>2</v>
          </cell>
          <cell r="B139" t="str">
            <v>00</v>
          </cell>
          <cell r="C139" t="str">
            <v>09</v>
          </cell>
          <cell r="E139" t="str">
            <v>2.00.09  Verify Project Cost Assumptions</v>
          </cell>
          <cell r="F139" t="str">
            <v/>
          </cell>
          <cell r="G139" t="str">
            <v>L</v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 t="str">
            <v/>
          </cell>
          <cell r="P139" t="str">
            <v>R</v>
          </cell>
          <cell r="Q139" t="str">
            <v>R</v>
          </cell>
          <cell r="R139" t="str">
            <v/>
          </cell>
          <cell r="S139" t="str">
            <v/>
          </cell>
          <cell r="T139" t="str">
            <v>R</v>
          </cell>
          <cell r="U139" t="str">
            <v>R</v>
          </cell>
          <cell r="V139" t="str">
            <v/>
          </cell>
          <cell r="W139" t="str">
            <v/>
          </cell>
          <cell r="X139">
            <v>100</v>
          </cell>
        </row>
        <row r="140">
          <cell r="A140" t="str">
            <v>2</v>
          </cell>
          <cell r="B140" t="str">
            <v>00</v>
          </cell>
          <cell r="C140" t="str">
            <v>10</v>
          </cell>
          <cell r="E140" t="str">
            <v>2.00.10  Obtain Final AR Approval</v>
          </cell>
          <cell r="F140" t="str">
            <v/>
          </cell>
          <cell r="G140" t="str">
            <v>L</v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 t="str">
            <v/>
          </cell>
          <cell r="P140" t="str">
            <v>R</v>
          </cell>
          <cell r="Q140" t="str">
            <v>R</v>
          </cell>
          <cell r="R140" t="str">
            <v/>
          </cell>
          <cell r="S140" t="str">
            <v/>
          </cell>
          <cell r="T140" t="str">
            <v>R</v>
          </cell>
          <cell r="U140" t="str">
            <v>R</v>
          </cell>
          <cell r="V140" t="str">
            <v>R</v>
          </cell>
          <cell r="W140" t="str">
            <v>R</v>
          </cell>
          <cell r="X140">
            <v>100</v>
          </cell>
        </row>
        <row r="141">
          <cell r="A141" t="str">
            <v>2</v>
          </cell>
          <cell r="B141" t="str">
            <v>01</v>
          </cell>
          <cell r="C141" t="str">
            <v/>
          </cell>
          <cell r="E141" t="str">
            <v>2.01 Design Failure Mode and Effects Analysis [DFMEA] (APQP 2.1)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 t="str">
            <v/>
          </cell>
          <cell r="P141" t="str">
            <v>R</v>
          </cell>
          <cell r="Q141" t="str">
            <v>R</v>
          </cell>
          <cell r="R141" t="str">
            <v/>
          </cell>
          <cell r="S141" t="str">
            <v/>
          </cell>
          <cell r="T141" t="str">
            <v>R</v>
          </cell>
          <cell r="U141" t="str">
            <v>R</v>
          </cell>
          <cell r="V141" t="str">
            <v/>
          </cell>
          <cell r="W141" t="str">
            <v/>
          </cell>
          <cell r="Y141">
            <v>1</v>
          </cell>
        </row>
        <row r="142">
          <cell r="A142" t="str">
            <v>2</v>
          </cell>
          <cell r="B142" t="str">
            <v>01</v>
          </cell>
          <cell r="C142" t="str">
            <v>01</v>
          </cell>
          <cell r="E142" t="str">
            <v>2.01.01  Develop Assembly and Component DFMEA's</v>
          </cell>
          <cell r="F142" t="str">
            <v/>
          </cell>
          <cell r="G142" t="str">
            <v/>
          </cell>
          <cell r="H142" t="str">
            <v>L</v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 t="str">
            <v/>
          </cell>
          <cell r="P142" t="str">
            <v>R</v>
          </cell>
          <cell r="Q142" t="str">
            <v>R</v>
          </cell>
          <cell r="R142" t="str">
            <v/>
          </cell>
          <cell r="S142" t="str">
            <v/>
          </cell>
          <cell r="T142" t="str">
            <v>R</v>
          </cell>
          <cell r="U142" t="str">
            <v>R</v>
          </cell>
          <cell r="V142" t="str">
            <v>R</v>
          </cell>
          <cell r="W142" t="str">
            <v>R</v>
          </cell>
          <cell r="X142">
            <v>100</v>
          </cell>
        </row>
        <row r="143">
          <cell r="A143" t="str">
            <v>2</v>
          </cell>
          <cell r="B143" t="str">
            <v>02</v>
          </cell>
          <cell r="C143" t="str">
            <v/>
          </cell>
          <cell r="E143" t="str">
            <v>2.02 Design for Manufacturability and Assembly [DFM/DFA] (APQP 2.2)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 t="str">
            <v/>
          </cell>
          <cell r="P143" t="str">
            <v>R</v>
          </cell>
          <cell r="Q143" t="str">
            <v/>
          </cell>
          <cell r="R143" t="str">
            <v/>
          </cell>
          <cell r="S143" t="str">
            <v/>
          </cell>
          <cell r="T143" t="str">
            <v>R</v>
          </cell>
          <cell r="U143" t="str">
            <v/>
          </cell>
          <cell r="V143" t="str">
            <v/>
          </cell>
          <cell r="W143" t="str">
            <v/>
          </cell>
          <cell r="Y143">
            <v>1</v>
          </cell>
        </row>
        <row r="144">
          <cell r="A144" t="str">
            <v>2</v>
          </cell>
          <cell r="B144" t="str">
            <v>02</v>
          </cell>
          <cell r="C144" t="str">
            <v>01</v>
          </cell>
          <cell r="E144" t="str">
            <v xml:space="preserve">2.02.01  Preliminary ArvinMeritor Manufacturability Studies </v>
          </cell>
          <cell r="F144" t="str">
            <v/>
          </cell>
          <cell r="G144" t="str">
            <v/>
          </cell>
          <cell r="H144" t="str">
            <v/>
          </cell>
          <cell r="I144" t="str">
            <v>L</v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 t="str">
            <v/>
          </cell>
          <cell r="P144" t="str">
            <v/>
          </cell>
          <cell r="Q144" t="str">
            <v/>
          </cell>
          <cell r="R144" t="str">
            <v/>
          </cell>
          <cell r="S144" t="str">
            <v/>
          </cell>
          <cell r="T144" t="str">
            <v>R</v>
          </cell>
          <cell r="U144" t="str">
            <v/>
          </cell>
          <cell r="V144" t="str">
            <v/>
          </cell>
          <cell r="W144" t="str">
            <v/>
          </cell>
          <cell r="X144">
            <v>100</v>
          </cell>
        </row>
        <row r="145">
          <cell r="A145" t="str">
            <v>2</v>
          </cell>
          <cell r="B145" t="str">
            <v>02</v>
          </cell>
          <cell r="C145" t="str">
            <v>02</v>
          </cell>
          <cell r="E145" t="str">
            <v>2.02.02  Perform DFM / DFA / DFS</v>
          </cell>
          <cell r="F145" t="str">
            <v/>
          </cell>
          <cell r="G145" t="str">
            <v>L</v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 t="str">
            <v/>
          </cell>
          <cell r="P145" t="str">
            <v>R</v>
          </cell>
          <cell r="Q145" t="str">
            <v/>
          </cell>
          <cell r="R145" t="str">
            <v/>
          </cell>
          <cell r="S145" t="str">
            <v/>
          </cell>
          <cell r="T145" t="str">
            <v>R</v>
          </cell>
          <cell r="U145" t="str">
            <v/>
          </cell>
          <cell r="V145" t="str">
            <v/>
          </cell>
          <cell r="W145" t="str">
            <v/>
          </cell>
          <cell r="X145">
            <v>100</v>
          </cell>
        </row>
        <row r="146">
          <cell r="A146" t="str">
            <v>2</v>
          </cell>
          <cell r="B146" t="str">
            <v>03</v>
          </cell>
          <cell r="C146" t="str">
            <v/>
          </cell>
          <cell r="E146" t="str">
            <v>2.03 Design Verification (APQP 2.3)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 t="str">
            <v/>
          </cell>
          <cell r="P146" t="str">
            <v>R</v>
          </cell>
          <cell r="Q146" t="str">
            <v>R</v>
          </cell>
          <cell r="R146" t="str">
            <v/>
          </cell>
          <cell r="S146" t="str">
            <v/>
          </cell>
          <cell r="T146" t="str">
            <v>R</v>
          </cell>
          <cell r="U146" t="str">
            <v>R</v>
          </cell>
          <cell r="V146" t="str">
            <v/>
          </cell>
          <cell r="W146" t="str">
            <v/>
          </cell>
          <cell r="Y146">
            <v>1</v>
          </cell>
        </row>
        <row r="147">
          <cell r="A147" t="str">
            <v>2</v>
          </cell>
          <cell r="B147" t="str">
            <v>03</v>
          </cell>
          <cell r="C147" t="str">
            <v>01</v>
          </cell>
          <cell r="E147" t="str">
            <v>2.03.01  Refine DVP</v>
          </cell>
          <cell r="F147" t="str">
            <v/>
          </cell>
          <cell r="G147" t="str">
            <v/>
          </cell>
          <cell r="H147" t="str">
            <v>L</v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 t="str">
            <v/>
          </cell>
          <cell r="P147" t="str">
            <v>R</v>
          </cell>
          <cell r="Q147" t="str">
            <v>R</v>
          </cell>
          <cell r="R147" t="str">
            <v/>
          </cell>
          <cell r="S147" t="str">
            <v/>
          </cell>
          <cell r="T147" t="str">
            <v>R</v>
          </cell>
          <cell r="U147" t="str">
            <v>R</v>
          </cell>
          <cell r="V147" t="str">
            <v/>
          </cell>
          <cell r="W147" t="str">
            <v/>
          </cell>
          <cell r="X147">
            <v>100</v>
          </cell>
        </row>
        <row r="148">
          <cell r="A148" t="str">
            <v>2</v>
          </cell>
          <cell r="B148" t="str">
            <v>03</v>
          </cell>
          <cell r="C148" t="str">
            <v>02</v>
          </cell>
          <cell r="E148" t="str">
            <v>2.03.02 Perform Statistical Tolerancing Studies</v>
          </cell>
          <cell r="F148" t="str">
            <v/>
          </cell>
          <cell r="G148" t="str">
            <v/>
          </cell>
          <cell r="H148" t="str">
            <v>L</v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 t="str">
            <v/>
          </cell>
          <cell r="P148" t="str">
            <v/>
          </cell>
          <cell r="Q148" t="str">
            <v/>
          </cell>
          <cell r="R148" t="str">
            <v/>
          </cell>
          <cell r="S148" t="str">
            <v/>
          </cell>
          <cell r="T148" t="str">
            <v>R</v>
          </cell>
          <cell r="U148" t="str">
            <v/>
          </cell>
          <cell r="V148" t="str">
            <v/>
          </cell>
          <cell r="W148" t="str">
            <v/>
          </cell>
          <cell r="X148">
            <v>100</v>
          </cell>
        </row>
        <row r="149">
          <cell r="A149" t="str">
            <v>2</v>
          </cell>
          <cell r="B149" t="str">
            <v>03</v>
          </cell>
          <cell r="C149" t="str">
            <v>03</v>
          </cell>
          <cell r="E149" t="str">
            <v>2.03.03  Perform DV Simulation &amp; Analysis</v>
          </cell>
          <cell r="F149" t="str">
            <v/>
          </cell>
          <cell r="G149" t="str">
            <v/>
          </cell>
          <cell r="H149" t="str">
            <v>L</v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 t="str">
            <v/>
          </cell>
          <cell r="P149" t="str">
            <v/>
          </cell>
          <cell r="Q149" t="str">
            <v/>
          </cell>
          <cell r="R149" t="str">
            <v/>
          </cell>
          <cell r="S149" t="str">
            <v/>
          </cell>
          <cell r="T149" t="str">
            <v>R</v>
          </cell>
          <cell r="U149" t="str">
            <v/>
          </cell>
          <cell r="V149" t="str">
            <v/>
          </cell>
          <cell r="W149" t="str">
            <v/>
          </cell>
          <cell r="X149">
            <v>100</v>
          </cell>
        </row>
        <row r="150">
          <cell r="A150" t="str">
            <v>2</v>
          </cell>
          <cell r="B150" t="str">
            <v>03</v>
          </cell>
          <cell r="C150" t="str">
            <v>04</v>
          </cell>
          <cell r="E150" t="str">
            <v>2.03.04   Define BOM for DV Parts</v>
          </cell>
          <cell r="F150" t="str">
            <v/>
          </cell>
          <cell r="G150" t="str">
            <v/>
          </cell>
          <cell r="H150" t="str">
            <v>L</v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 t="str">
            <v/>
          </cell>
          <cell r="P150" t="str">
            <v/>
          </cell>
          <cell r="Q150" t="str">
            <v/>
          </cell>
          <cell r="R150" t="str">
            <v/>
          </cell>
          <cell r="S150" t="str">
            <v/>
          </cell>
          <cell r="T150" t="str">
            <v>R</v>
          </cell>
          <cell r="U150" t="str">
            <v/>
          </cell>
          <cell r="V150" t="str">
            <v/>
          </cell>
          <cell r="W150" t="str">
            <v/>
          </cell>
          <cell r="X150">
            <v>100</v>
          </cell>
        </row>
        <row r="151">
          <cell r="A151" t="str">
            <v>2</v>
          </cell>
          <cell r="B151" t="str">
            <v>03</v>
          </cell>
          <cell r="C151" t="str">
            <v>05</v>
          </cell>
          <cell r="E151" t="str">
            <v>2.03.05  Order Production Intent DV Parts</v>
          </cell>
          <cell r="F151" t="str">
            <v/>
          </cell>
          <cell r="G151" t="str">
            <v/>
          </cell>
          <cell r="H151" t="str">
            <v>L</v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str">
            <v/>
          </cell>
          <cell r="P151" t="str">
            <v/>
          </cell>
          <cell r="Q151" t="str">
            <v/>
          </cell>
          <cell r="R151" t="str">
            <v/>
          </cell>
          <cell r="S151" t="str">
            <v/>
          </cell>
          <cell r="T151" t="str">
            <v>R</v>
          </cell>
          <cell r="U151" t="str">
            <v/>
          </cell>
          <cell r="V151" t="str">
            <v/>
          </cell>
          <cell r="W151" t="str">
            <v/>
          </cell>
          <cell r="X151">
            <v>100</v>
          </cell>
        </row>
        <row r="152">
          <cell r="A152" t="str">
            <v>2</v>
          </cell>
          <cell r="B152" t="str">
            <v>03</v>
          </cell>
          <cell r="C152" t="str">
            <v>06</v>
          </cell>
          <cell r="E152" t="str">
            <v>2.03.06  Build Production Intent DV Parts</v>
          </cell>
          <cell r="F152" t="str">
            <v/>
          </cell>
          <cell r="G152" t="str">
            <v/>
          </cell>
          <cell r="H152" t="str">
            <v>L</v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 t="str">
            <v/>
          </cell>
          <cell r="P152" t="str">
            <v/>
          </cell>
          <cell r="Q152" t="str">
            <v/>
          </cell>
          <cell r="R152" t="str">
            <v/>
          </cell>
          <cell r="S152" t="str">
            <v/>
          </cell>
          <cell r="T152" t="str">
            <v>R</v>
          </cell>
          <cell r="U152" t="str">
            <v/>
          </cell>
          <cell r="V152" t="str">
            <v/>
          </cell>
          <cell r="W152" t="str">
            <v/>
          </cell>
          <cell r="X152">
            <v>100</v>
          </cell>
        </row>
        <row r="153">
          <cell r="A153" t="str">
            <v>2</v>
          </cell>
          <cell r="B153" t="str">
            <v>03</v>
          </cell>
          <cell r="C153" t="str">
            <v>07</v>
          </cell>
          <cell r="E153" t="str">
            <v>2.03.07  Test Production Intent DV Parts</v>
          </cell>
          <cell r="F153" t="str">
            <v/>
          </cell>
          <cell r="G153" t="str">
            <v/>
          </cell>
          <cell r="H153" t="str">
            <v>L</v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 t="str">
            <v/>
          </cell>
          <cell r="P153" t="str">
            <v/>
          </cell>
          <cell r="Q153" t="str">
            <v/>
          </cell>
          <cell r="R153" t="str">
            <v/>
          </cell>
          <cell r="S153" t="str">
            <v/>
          </cell>
          <cell r="T153" t="str">
            <v>R</v>
          </cell>
          <cell r="U153" t="str">
            <v>R</v>
          </cell>
          <cell r="V153" t="str">
            <v>R</v>
          </cell>
          <cell r="W153" t="str">
            <v>R</v>
          </cell>
          <cell r="X153">
            <v>100</v>
          </cell>
        </row>
        <row r="154">
          <cell r="A154" t="str">
            <v>2</v>
          </cell>
          <cell r="B154" t="str">
            <v>03</v>
          </cell>
          <cell r="C154" t="str">
            <v>08</v>
          </cell>
          <cell r="E154" t="str">
            <v>2.03.08  Perform &amp; Approve Product Design Verification</v>
          </cell>
          <cell r="F154" t="str">
            <v/>
          </cell>
          <cell r="G154" t="str">
            <v/>
          </cell>
          <cell r="H154" t="str">
            <v>L</v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str">
            <v/>
          </cell>
          <cell r="P154" t="str">
            <v/>
          </cell>
          <cell r="Q154" t="str">
            <v/>
          </cell>
          <cell r="R154" t="str">
            <v/>
          </cell>
          <cell r="S154" t="str">
            <v/>
          </cell>
          <cell r="T154" t="str">
            <v>R</v>
          </cell>
          <cell r="U154" t="str">
            <v>R</v>
          </cell>
          <cell r="V154" t="str">
            <v>R</v>
          </cell>
          <cell r="W154" t="str">
            <v>R</v>
          </cell>
          <cell r="X154">
            <v>100</v>
          </cell>
        </row>
        <row r="155">
          <cell r="A155" t="str">
            <v>2</v>
          </cell>
          <cell r="B155" t="str">
            <v>03</v>
          </cell>
          <cell r="C155" t="str">
            <v>09</v>
          </cell>
          <cell r="E155" t="str">
            <v xml:space="preserve">2.03.09  Approve DVP&amp;R </v>
          </cell>
          <cell r="F155" t="str">
            <v/>
          </cell>
          <cell r="G155" t="str">
            <v/>
          </cell>
          <cell r="H155" t="str">
            <v>L</v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str">
            <v/>
          </cell>
          <cell r="P155" t="str">
            <v>R</v>
          </cell>
          <cell r="Q155" t="str">
            <v>R</v>
          </cell>
          <cell r="R155" t="str">
            <v/>
          </cell>
          <cell r="S155" t="str">
            <v/>
          </cell>
          <cell r="T155" t="str">
            <v>R</v>
          </cell>
          <cell r="U155" t="str">
            <v>R</v>
          </cell>
          <cell r="V155" t="str">
            <v/>
          </cell>
          <cell r="W155" t="str">
            <v/>
          </cell>
          <cell r="X155">
            <v>100</v>
          </cell>
        </row>
        <row r="156">
          <cell r="A156" t="str">
            <v>2</v>
          </cell>
          <cell r="B156" t="str">
            <v>04</v>
          </cell>
          <cell r="C156" t="str">
            <v/>
          </cell>
          <cell r="E156" t="str">
            <v>2.04 Design Reviews (APQP 2.4)</v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str">
            <v/>
          </cell>
          <cell r="P156" t="str">
            <v>R</v>
          </cell>
          <cell r="Q156" t="str">
            <v>R</v>
          </cell>
          <cell r="R156" t="str">
            <v/>
          </cell>
          <cell r="S156" t="str">
            <v/>
          </cell>
          <cell r="T156" t="str">
            <v>R</v>
          </cell>
          <cell r="U156" t="str">
            <v>R</v>
          </cell>
          <cell r="V156" t="str">
            <v/>
          </cell>
          <cell r="W156" t="str">
            <v/>
          </cell>
          <cell r="Y156">
            <v>1</v>
          </cell>
        </row>
        <row r="157">
          <cell r="A157" t="str">
            <v>2</v>
          </cell>
          <cell r="B157" t="str">
            <v>04</v>
          </cell>
          <cell r="C157" t="str">
            <v>01</v>
          </cell>
          <cell r="E157" t="str">
            <v>2.04.01  Conduct Value Engineering Studies</v>
          </cell>
          <cell r="F157" t="str">
            <v/>
          </cell>
          <cell r="G157" t="str">
            <v/>
          </cell>
          <cell r="H157" t="str">
            <v>L</v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str">
            <v/>
          </cell>
          <cell r="P157" t="str">
            <v/>
          </cell>
          <cell r="Q157" t="str">
            <v/>
          </cell>
          <cell r="R157" t="str">
            <v/>
          </cell>
          <cell r="S157" t="str">
            <v/>
          </cell>
          <cell r="T157" t="str">
            <v>R</v>
          </cell>
          <cell r="U157" t="str">
            <v/>
          </cell>
          <cell r="V157" t="str">
            <v/>
          </cell>
          <cell r="W157" t="str">
            <v/>
          </cell>
          <cell r="X157">
            <v>100</v>
          </cell>
        </row>
        <row r="158">
          <cell r="A158" t="str">
            <v>2</v>
          </cell>
          <cell r="B158" t="str">
            <v>04</v>
          </cell>
          <cell r="C158" t="str">
            <v>02</v>
          </cell>
          <cell r="E158" t="str">
            <v>2.04.02  Conduct Product Design Reviews</v>
          </cell>
          <cell r="F158" t="str">
            <v/>
          </cell>
          <cell r="G158" t="str">
            <v>L</v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str">
            <v/>
          </cell>
          <cell r="P158" t="str">
            <v>R</v>
          </cell>
          <cell r="Q158" t="str">
            <v>R</v>
          </cell>
          <cell r="R158" t="str">
            <v/>
          </cell>
          <cell r="S158" t="str">
            <v/>
          </cell>
          <cell r="T158" t="str">
            <v>R</v>
          </cell>
          <cell r="U158" t="str">
            <v>R</v>
          </cell>
          <cell r="V158" t="str">
            <v>R</v>
          </cell>
          <cell r="W158" t="str">
            <v>R</v>
          </cell>
          <cell r="X158">
            <v>100</v>
          </cell>
        </row>
        <row r="159">
          <cell r="A159" t="str">
            <v>2</v>
          </cell>
          <cell r="B159" t="str">
            <v>04</v>
          </cell>
          <cell r="C159" t="str">
            <v>03</v>
          </cell>
          <cell r="E159" t="str">
            <v>2.04.03  Conduct Process Design Reviews</v>
          </cell>
          <cell r="F159" t="str">
            <v/>
          </cell>
          <cell r="G159" t="str">
            <v>L</v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str">
            <v/>
          </cell>
          <cell r="P159" t="str">
            <v>R</v>
          </cell>
          <cell r="Q159" t="str">
            <v>R</v>
          </cell>
          <cell r="R159" t="str">
            <v/>
          </cell>
          <cell r="S159" t="str">
            <v/>
          </cell>
          <cell r="T159" t="str">
            <v>R</v>
          </cell>
          <cell r="U159" t="str">
            <v>R</v>
          </cell>
          <cell r="V159" t="str">
            <v/>
          </cell>
          <cell r="W159" t="str">
            <v/>
          </cell>
          <cell r="X159">
            <v>100</v>
          </cell>
        </row>
        <row r="160">
          <cell r="A160" t="str">
            <v>2</v>
          </cell>
          <cell r="B160" t="str">
            <v>05</v>
          </cell>
          <cell r="C160" t="str">
            <v/>
          </cell>
          <cell r="E160" t="str">
            <v>2.05 Prototype Build Control Plan (APQP 2.5)</v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str">
            <v/>
          </cell>
          <cell r="P160" t="str">
            <v>R</v>
          </cell>
          <cell r="Q160" t="str">
            <v>R</v>
          </cell>
          <cell r="R160" t="str">
            <v/>
          </cell>
          <cell r="S160" t="str">
            <v/>
          </cell>
          <cell r="T160" t="str">
            <v>R</v>
          </cell>
          <cell r="U160" t="str">
            <v>R</v>
          </cell>
          <cell r="V160" t="str">
            <v/>
          </cell>
          <cell r="W160" t="str">
            <v/>
          </cell>
          <cell r="Y160">
            <v>1</v>
          </cell>
        </row>
        <row r="161">
          <cell r="A161" t="str">
            <v>2</v>
          </cell>
          <cell r="B161" t="str">
            <v>05</v>
          </cell>
          <cell r="C161" t="str">
            <v>01</v>
          </cell>
          <cell r="E161" t="str">
            <v>2.05.01  Develop Prototype Control Plan</v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>L</v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str">
            <v/>
          </cell>
          <cell r="P161" t="str">
            <v>R</v>
          </cell>
          <cell r="Q161" t="str">
            <v>R</v>
          </cell>
          <cell r="R161" t="str">
            <v/>
          </cell>
          <cell r="S161" t="str">
            <v/>
          </cell>
          <cell r="T161" t="str">
            <v>R</v>
          </cell>
          <cell r="U161" t="str">
            <v>R</v>
          </cell>
          <cell r="V161" t="str">
            <v/>
          </cell>
          <cell r="W161" t="str">
            <v/>
          </cell>
          <cell r="X161">
            <v>100</v>
          </cell>
        </row>
        <row r="162">
          <cell r="A162" t="str">
            <v>2</v>
          </cell>
          <cell r="B162" t="str">
            <v>06</v>
          </cell>
          <cell r="C162" t="str">
            <v/>
          </cell>
          <cell r="E162" t="str">
            <v>2.06 Engineering Drawings [including Math Data] (APQP 2.6)</v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str">
            <v/>
          </cell>
          <cell r="P162" t="str">
            <v>R</v>
          </cell>
          <cell r="Q162" t="str">
            <v>R</v>
          </cell>
          <cell r="R162" t="str">
            <v>R</v>
          </cell>
          <cell r="S162" t="str">
            <v/>
          </cell>
          <cell r="T162" t="str">
            <v>R</v>
          </cell>
          <cell r="U162" t="str">
            <v>R</v>
          </cell>
          <cell r="V162" t="str">
            <v>R</v>
          </cell>
          <cell r="W162" t="str">
            <v/>
          </cell>
          <cell r="Y162">
            <v>1</v>
          </cell>
        </row>
        <row r="163">
          <cell r="A163" t="str">
            <v>2</v>
          </cell>
          <cell r="B163" t="str">
            <v>06</v>
          </cell>
          <cell r="C163" t="str">
            <v>01</v>
          </cell>
          <cell r="E163" t="str">
            <v>2.06.01  Review Drawings</v>
          </cell>
          <cell r="F163" t="str">
            <v/>
          </cell>
          <cell r="G163" t="str">
            <v/>
          </cell>
          <cell r="H163" t="str">
            <v>L</v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str">
            <v/>
          </cell>
          <cell r="P163" t="str">
            <v>R</v>
          </cell>
          <cell r="Q163" t="str">
            <v>R</v>
          </cell>
          <cell r="R163" t="str">
            <v>R</v>
          </cell>
          <cell r="S163" t="str">
            <v/>
          </cell>
          <cell r="T163" t="str">
            <v>R</v>
          </cell>
          <cell r="U163" t="str">
            <v>R</v>
          </cell>
          <cell r="V163" t="str">
            <v>R</v>
          </cell>
          <cell r="W163" t="str">
            <v/>
          </cell>
          <cell r="X163">
            <v>100</v>
          </cell>
        </row>
        <row r="164">
          <cell r="A164" t="str">
            <v>2</v>
          </cell>
          <cell r="B164" t="str">
            <v>07</v>
          </cell>
          <cell r="C164" t="str">
            <v/>
          </cell>
          <cell r="E164" t="str">
            <v>2.07 Engineering Specifications (APQP 2.7)</v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str">
            <v/>
          </cell>
          <cell r="P164" t="str">
            <v>R</v>
          </cell>
          <cell r="Q164" t="str">
            <v>R</v>
          </cell>
          <cell r="R164" t="str">
            <v>R</v>
          </cell>
          <cell r="S164" t="str">
            <v/>
          </cell>
          <cell r="T164" t="str">
            <v>R</v>
          </cell>
          <cell r="U164" t="str">
            <v>R</v>
          </cell>
          <cell r="V164" t="str">
            <v>R</v>
          </cell>
          <cell r="W164" t="str">
            <v/>
          </cell>
          <cell r="Y164">
            <v>1</v>
          </cell>
        </row>
        <row r="165">
          <cell r="A165" t="str">
            <v>2</v>
          </cell>
          <cell r="B165" t="str">
            <v>07</v>
          </cell>
          <cell r="C165" t="str">
            <v>01</v>
          </cell>
          <cell r="E165" t="str">
            <v>2.07.01  Review Specifications and Characteristics</v>
          </cell>
          <cell r="F165" t="str">
            <v/>
          </cell>
          <cell r="G165" t="str">
            <v/>
          </cell>
          <cell r="H165" t="str">
            <v>L</v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str">
            <v/>
          </cell>
          <cell r="P165" t="str">
            <v>R</v>
          </cell>
          <cell r="Q165" t="str">
            <v>R</v>
          </cell>
          <cell r="R165" t="str">
            <v>R</v>
          </cell>
          <cell r="S165" t="str">
            <v/>
          </cell>
          <cell r="T165" t="str">
            <v>R</v>
          </cell>
          <cell r="U165" t="str">
            <v>R</v>
          </cell>
          <cell r="V165" t="str">
            <v>R</v>
          </cell>
          <cell r="W165" t="str">
            <v/>
          </cell>
          <cell r="X165">
            <v>100</v>
          </cell>
        </row>
        <row r="166">
          <cell r="A166" t="str">
            <v>2</v>
          </cell>
          <cell r="B166" t="str">
            <v>07</v>
          </cell>
          <cell r="C166" t="str">
            <v>02</v>
          </cell>
          <cell r="E166" t="str">
            <v>2.07.02  Develop Product Validation Plan</v>
          </cell>
          <cell r="F166" t="str">
            <v/>
          </cell>
          <cell r="G166" t="str">
            <v/>
          </cell>
          <cell r="H166" t="str">
            <v>L</v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str">
            <v/>
          </cell>
          <cell r="P166" t="str">
            <v>R</v>
          </cell>
          <cell r="Q166" t="str">
            <v>R</v>
          </cell>
          <cell r="R166" t="str">
            <v>R</v>
          </cell>
          <cell r="S166" t="str">
            <v/>
          </cell>
          <cell r="T166" t="str">
            <v>R</v>
          </cell>
          <cell r="U166" t="str">
            <v>R</v>
          </cell>
          <cell r="V166" t="str">
            <v>R</v>
          </cell>
          <cell r="W166" t="str">
            <v/>
          </cell>
          <cell r="X166">
            <v>100</v>
          </cell>
        </row>
        <row r="167">
          <cell r="A167" t="str">
            <v>2</v>
          </cell>
          <cell r="B167" t="str">
            <v>08</v>
          </cell>
          <cell r="C167" t="str">
            <v/>
          </cell>
          <cell r="E167" t="str">
            <v>2.08 Material Specifications (APQP 2.8)</v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str">
            <v/>
          </cell>
          <cell r="P167" t="str">
            <v>R</v>
          </cell>
          <cell r="Q167" t="str">
            <v>R</v>
          </cell>
          <cell r="R167" t="str">
            <v>R</v>
          </cell>
          <cell r="S167" t="str">
            <v/>
          </cell>
          <cell r="T167" t="str">
            <v>R</v>
          </cell>
          <cell r="U167" t="str">
            <v>R</v>
          </cell>
          <cell r="V167" t="str">
            <v>R</v>
          </cell>
          <cell r="W167" t="str">
            <v/>
          </cell>
          <cell r="Y167">
            <v>1</v>
          </cell>
        </row>
        <row r="168">
          <cell r="A168" t="str">
            <v>2</v>
          </cell>
          <cell r="B168" t="str">
            <v>08</v>
          </cell>
          <cell r="C168" t="str">
            <v>01</v>
          </cell>
          <cell r="E168" t="str">
            <v>2.08.01  Develop Material Specifications.</v>
          </cell>
          <cell r="F168" t="str">
            <v/>
          </cell>
          <cell r="G168" t="str">
            <v/>
          </cell>
          <cell r="H168" t="str">
            <v>L</v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str">
            <v/>
          </cell>
          <cell r="P168" t="str">
            <v>R</v>
          </cell>
          <cell r="Q168" t="str">
            <v>R</v>
          </cell>
          <cell r="R168" t="str">
            <v>R</v>
          </cell>
          <cell r="S168" t="str">
            <v/>
          </cell>
          <cell r="T168" t="str">
            <v>R</v>
          </cell>
          <cell r="U168" t="str">
            <v>R</v>
          </cell>
          <cell r="V168" t="str">
            <v>R</v>
          </cell>
          <cell r="W168" t="str">
            <v/>
          </cell>
          <cell r="X168">
            <v>100</v>
          </cell>
        </row>
        <row r="169">
          <cell r="A169" t="str">
            <v>2</v>
          </cell>
          <cell r="B169" t="str">
            <v>09</v>
          </cell>
          <cell r="C169" t="str">
            <v/>
          </cell>
          <cell r="E169" t="str">
            <v>2.09 Drawings and Specifications Changes (APQP 2.9)</v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str">
            <v/>
          </cell>
          <cell r="P169" t="str">
            <v/>
          </cell>
          <cell r="Q169" t="str">
            <v/>
          </cell>
          <cell r="R169" t="str">
            <v/>
          </cell>
          <cell r="S169" t="str">
            <v/>
          </cell>
          <cell r="T169" t="str">
            <v>R</v>
          </cell>
          <cell r="U169" t="str">
            <v/>
          </cell>
          <cell r="V169" t="str">
            <v/>
          </cell>
          <cell r="W169" t="str">
            <v/>
          </cell>
          <cell r="Y169">
            <v>1</v>
          </cell>
        </row>
        <row r="170">
          <cell r="A170" t="str">
            <v>2</v>
          </cell>
          <cell r="B170" t="str">
            <v>09</v>
          </cell>
          <cell r="C170" t="str">
            <v>01</v>
          </cell>
          <cell r="E170" t="str">
            <v>2.09.01  Refine Drawing and Specification Changes</v>
          </cell>
          <cell r="F170" t="str">
            <v/>
          </cell>
          <cell r="G170" t="str">
            <v/>
          </cell>
          <cell r="H170" t="str">
            <v>L</v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str">
            <v/>
          </cell>
          <cell r="P170" t="str">
            <v/>
          </cell>
          <cell r="Q170" t="str">
            <v/>
          </cell>
          <cell r="R170" t="str">
            <v/>
          </cell>
          <cell r="S170" t="str">
            <v/>
          </cell>
          <cell r="T170" t="str">
            <v>R</v>
          </cell>
          <cell r="U170" t="str">
            <v/>
          </cell>
          <cell r="V170" t="str">
            <v/>
          </cell>
          <cell r="W170" t="str">
            <v/>
          </cell>
          <cell r="X170">
            <v>100</v>
          </cell>
        </row>
        <row r="171">
          <cell r="A171" t="str">
            <v>2</v>
          </cell>
          <cell r="B171" t="str">
            <v>10</v>
          </cell>
          <cell r="C171" t="str">
            <v/>
          </cell>
          <cell r="E171" t="str">
            <v>2.10 New Equipment, Tooling, and Facilities Requirements (APQP 2.10)</v>
          </cell>
          <cell r="F171" t="str">
            <v/>
          </cell>
          <cell r="G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  <cell r="N171" t="str">
            <v/>
          </cell>
          <cell r="O171" t="str">
            <v/>
          </cell>
          <cell r="P171" t="str">
            <v>R</v>
          </cell>
          <cell r="Q171" t="str">
            <v>R</v>
          </cell>
          <cell r="R171" t="str">
            <v/>
          </cell>
          <cell r="S171" t="str">
            <v/>
          </cell>
          <cell r="T171" t="str">
            <v>R</v>
          </cell>
          <cell r="U171" t="str">
            <v>R</v>
          </cell>
          <cell r="V171" t="str">
            <v/>
          </cell>
          <cell r="W171" t="str">
            <v/>
          </cell>
          <cell r="Y171">
            <v>1</v>
          </cell>
        </row>
        <row r="172">
          <cell r="A172" t="str">
            <v>2</v>
          </cell>
          <cell r="B172" t="str">
            <v>10</v>
          </cell>
          <cell r="C172" t="str">
            <v>01</v>
          </cell>
          <cell r="E172" t="str">
            <v>2.10.01  Establish Consumable Waste Removal Requirements</v>
          </cell>
          <cell r="F172" t="str">
            <v/>
          </cell>
          <cell r="G172" t="str">
            <v/>
          </cell>
          <cell r="H172" t="str">
            <v/>
          </cell>
          <cell r="I172" t="str">
            <v>L</v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  <cell r="N172" t="str">
            <v/>
          </cell>
          <cell r="O172" t="str">
            <v/>
          </cell>
          <cell r="P172" t="str">
            <v/>
          </cell>
          <cell r="Q172" t="str">
            <v/>
          </cell>
          <cell r="R172" t="str">
            <v/>
          </cell>
          <cell r="S172" t="str">
            <v/>
          </cell>
          <cell r="T172" t="str">
            <v>R</v>
          </cell>
          <cell r="U172" t="str">
            <v/>
          </cell>
          <cell r="V172" t="str">
            <v/>
          </cell>
          <cell r="W172" t="str">
            <v/>
          </cell>
          <cell r="X172">
            <v>100</v>
          </cell>
        </row>
        <row r="173">
          <cell r="A173" t="str">
            <v>2</v>
          </cell>
          <cell r="B173" t="str">
            <v>10</v>
          </cell>
          <cell r="C173" t="str">
            <v>02</v>
          </cell>
          <cell r="E173" t="str">
            <v>2.10.02  Evaluate Health, Safety, and Environmental Impact</v>
          </cell>
          <cell r="F173" t="str">
            <v/>
          </cell>
          <cell r="G173" t="str">
            <v/>
          </cell>
          <cell r="H173" t="str">
            <v/>
          </cell>
          <cell r="I173" t="str">
            <v>L</v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  <cell r="N173" t="str">
            <v/>
          </cell>
          <cell r="O173" t="str">
            <v/>
          </cell>
          <cell r="P173" t="str">
            <v/>
          </cell>
          <cell r="Q173" t="str">
            <v/>
          </cell>
          <cell r="R173" t="str">
            <v/>
          </cell>
          <cell r="S173" t="str">
            <v/>
          </cell>
          <cell r="T173" t="str">
            <v>R</v>
          </cell>
          <cell r="U173" t="str">
            <v/>
          </cell>
          <cell r="V173" t="str">
            <v/>
          </cell>
          <cell r="W173" t="str">
            <v/>
          </cell>
          <cell r="X173">
            <v>100</v>
          </cell>
        </row>
        <row r="174">
          <cell r="A174" t="str">
            <v>2</v>
          </cell>
          <cell r="B174" t="str">
            <v>10</v>
          </cell>
          <cell r="C174" t="str">
            <v>03</v>
          </cell>
          <cell r="E174" t="str">
            <v>2.10.03  Define Equipment and Tooling Needs</v>
          </cell>
          <cell r="F174" t="str">
            <v/>
          </cell>
          <cell r="G174" t="str">
            <v/>
          </cell>
          <cell r="H174" t="str">
            <v/>
          </cell>
          <cell r="I174" t="str">
            <v>L</v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  <cell r="N174" t="str">
            <v/>
          </cell>
          <cell r="O174" t="str">
            <v/>
          </cell>
          <cell r="P174" t="str">
            <v/>
          </cell>
          <cell r="Q174" t="str">
            <v/>
          </cell>
          <cell r="R174" t="str">
            <v/>
          </cell>
          <cell r="S174" t="str">
            <v/>
          </cell>
          <cell r="T174" t="str">
            <v>R</v>
          </cell>
          <cell r="U174" t="str">
            <v>R</v>
          </cell>
          <cell r="V174" t="str">
            <v>R</v>
          </cell>
          <cell r="W174" t="str">
            <v>R</v>
          </cell>
          <cell r="X174">
            <v>100</v>
          </cell>
        </row>
        <row r="175">
          <cell r="A175" t="str">
            <v>2</v>
          </cell>
          <cell r="B175" t="str">
            <v>10</v>
          </cell>
          <cell r="C175" t="str">
            <v>04</v>
          </cell>
          <cell r="E175" t="str">
            <v>2.10.04  Define Equipment and Tooling Ownership</v>
          </cell>
          <cell r="F175" t="str">
            <v/>
          </cell>
          <cell r="G175" t="str">
            <v/>
          </cell>
          <cell r="H175" t="str">
            <v/>
          </cell>
          <cell r="I175" t="str">
            <v>L</v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  <cell r="N175" t="str">
            <v/>
          </cell>
          <cell r="O175" t="str">
            <v/>
          </cell>
          <cell r="P175" t="str">
            <v/>
          </cell>
          <cell r="Q175" t="str">
            <v/>
          </cell>
          <cell r="R175" t="str">
            <v/>
          </cell>
          <cell r="S175" t="str">
            <v/>
          </cell>
          <cell r="T175" t="str">
            <v>R</v>
          </cell>
          <cell r="U175" t="str">
            <v/>
          </cell>
          <cell r="V175" t="str">
            <v/>
          </cell>
          <cell r="W175" t="str">
            <v/>
          </cell>
          <cell r="X175">
            <v>100</v>
          </cell>
        </row>
        <row r="176">
          <cell r="A176" t="str">
            <v>2</v>
          </cell>
          <cell r="B176" t="str">
            <v>10</v>
          </cell>
          <cell r="C176" t="str">
            <v>05</v>
          </cell>
          <cell r="E176" t="str">
            <v>2.10.05  Develop Equipment and Tooling Validation Plan</v>
          </cell>
          <cell r="F176" t="str">
            <v/>
          </cell>
          <cell r="G176" t="str">
            <v/>
          </cell>
          <cell r="H176" t="str">
            <v/>
          </cell>
          <cell r="I176" t="str">
            <v>L</v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  <cell r="N176" t="str">
            <v/>
          </cell>
          <cell r="O176" t="str">
            <v/>
          </cell>
          <cell r="P176" t="str">
            <v>R</v>
          </cell>
          <cell r="Q176" t="str">
            <v>R</v>
          </cell>
          <cell r="R176" t="str">
            <v/>
          </cell>
          <cell r="S176" t="str">
            <v/>
          </cell>
          <cell r="T176" t="str">
            <v>R</v>
          </cell>
          <cell r="U176" t="str">
            <v>R</v>
          </cell>
          <cell r="V176" t="str">
            <v/>
          </cell>
          <cell r="W176" t="str">
            <v/>
          </cell>
          <cell r="X176">
            <v>100</v>
          </cell>
        </row>
        <row r="177">
          <cell r="A177" t="str">
            <v>2</v>
          </cell>
          <cell r="B177" t="str">
            <v>11</v>
          </cell>
          <cell r="C177" t="str">
            <v/>
          </cell>
          <cell r="E177" t="str">
            <v>2.11 Special Product and Process Characteristics (APQP 2.11)</v>
          </cell>
          <cell r="F177" t="str">
            <v/>
          </cell>
          <cell r="G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  <cell r="N177" t="str">
            <v/>
          </cell>
          <cell r="O177" t="str">
            <v/>
          </cell>
          <cell r="P177" t="str">
            <v>R</v>
          </cell>
          <cell r="Q177" t="str">
            <v>R</v>
          </cell>
          <cell r="R177" t="str">
            <v/>
          </cell>
          <cell r="S177" t="str">
            <v/>
          </cell>
          <cell r="T177" t="str">
            <v>R</v>
          </cell>
          <cell r="U177" t="str">
            <v>R</v>
          </cell>
          <cell r="V177" t="str">
            <v/>
          </cell>
          <cell r="W177" t="str">
            <v/>
          </cell>
          <cell r="Y177">
            <v>1</v>
          </cell>
        </row>
        <row r="178">
          <cell r="A178" t="str">
            <v>2</v>
          </cell>
          <cell r="B178" t="str">
            <v>11</v>
          </cell>
          <cell r="C178" t="str">
            <v>01</v>
          </cell>
          <cell r="E178" t="str">
            <v>2.11.01  Update Special Product Characteristics List</v>
          </cell>
          <cell r="F178" t="str">
            <v/>
          </cell>
          <cell r="G178" t="str">
            <v/>
          </cell>
          <cell r="H178" t="str">
            <v>L</v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  <cell r="N178" t="str">
            <v/>
          </cell>
          <cell r="O178" t="str">
            <v/>
          </cell>
          <cell r="P178" t="str">
            <v>R</v>
          </cell>
          <cell r="Q178" t="str">
            <v>R</v>
          </cell>
          <cell r="R178" t="str">
            <v/>
          </cell>
          <cell r="S178" t="str">
            <v/>
          </cell>
          <cell r="T178" t="str">
            <v>R</v>
          </cell>
          <cell r="U178" t="str">
            <v>R</v>
          </cell>
          <cell r="V178" t="str">
            <v/>
          </cell>
          <cell r="W178" t="str">
            <v/>
          </cell>
          <cell r="X178">
            <v>100</v>
          </cell>
        </row>
        <row r="179">
          <cell r="A179" t="str">
            <v>2</v>
          </cell>
          <cell r="B179" t="str">
            <v>11</v>
          </cell>
          <cell r="C179" t="str">
            <v>02</v>
          </cell>
          <cell r="E179" t="str">
            <v>2.11.02  Update Special Process Characteristics List</v>
          </cell>
          <cell r="F179" t="str">
            <v/>
          </cell>
          <cell r="G179" t="str">
            <v/>
          </cell>
          <cell r="H179" t="str">
            <v/>
          </cell>
          <cell r="I179" t="str">
            <v>L</v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  <cell r="N179" t="str">
            <v/>
          </cell>
          <cell r="O179" t="str">
            <v/>
          </cell>
          <cell r="P179" t="str">
            <v>R</v>
          </cell>
          <cell r="Q179" t="str">
            <v>R</v>
          </cell>
          <cell r="R179" t="str">
            <v/>
          </cell>
          <cell r="S179" t="str">
            <v/>
          </cell>
          <cell r="T179" t="str">
            <v>R</v>
          </cell>
          <cell r="U179" t="str">
            <v>R</v>
          </cell>
          <cell r="V179" t="str">
            <v/>
          </cell>
          <cell r="W179" t="str">
            <v/>
          </cell>
          <cell r="X179">
            <v>100</v>
          </cell>
        </row>
        <row r="180">
          <cell r="A180" t="str">
            <v>2</v>
          </cell>
          <cell r="B180" t="str">
            <v>12</v>
          </cell>
          <cell r="C180" t="str">
            <v/>
          </cell>
          <cell r="E180" t="str">
            <v>2.12 Gauges/Testing Equipment Requirements (APQP 2.12)</v>
          </cell>
          <cell r="F180" t="str">
            <v/>
          </cell>
          <cell r="G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  <cell r="N180" t="str">
            <v/>
          </cell>
          <cell r="O180" t="str">
            <v/>
          </cell>
          <cell r="P180" t="str">
            <v>R</v>
          </cell>
          <cell r="Q180" t="str">
            <v>R</v>
          </cell>
          <cell r="R180" t="str">
            <v/>
          </cell>
          <cell r="S180" t="str">
            <v/>
          </cell>
          <cell r="T180" t="str">
            <v>R</v>
          </cell>
          <cell r="U180" t="str">
            <v>R</v>
          </cell>
          <cell r="V180" t="str">
            <v/>
          </cell>
          <cell r="W180" t="str">
            <v/>
          </cell>
          <cell r="Y180">
            <v>1</v>
          </cell>
        </row>
        <row r="181">
          <cell r="A181" t="str">
            <v>2</v>
          </cell>
          <cell r="B181" t="str">
            <v>12</v>
          </cell>
          <cell r="C181" t="str">
            <v>01</v>
          </cell>
          <cell r="E181" t="str">
            <v>2.12.01  Determine Test Equipment &amp; Gauge Requirements and Issue Specifications</v>
          </cell>
          <cell r="F181" t="str">
            <v/>
          </cell>
          <cell r="G181" t="str">
            <v/>
          </cell>
          <cell r="H181" t="str">
            <v/>
          </cell>
          <cell r="I181" t="str">
            <v/>
          </cell>
          <cell r="J181" t="str">
            <v>L</v>
          </cell>
          <cell r="K181" t="str">
            <v/>
          </cell>
          <cell r="L181" t="str">
            <v/>
          </cell>
          <cell r="M181" t="str">
            <v/>
          </cell>
          <cell r="N181" t="str">
            <v/>
          </cell>
          <cell r="O181" t="str">
            <v/>
          </cell>
          <cell r="P181" t="str">
            <v>R</v>
          </cell>
          <cell r="Q181" t="str">
            <v>R</v>
          </cell>
          <cell r="R181" t="str">
            <v/>
          </cell>
          <cell r="S181" t="str">
            <v/>
          </cell>
          <cell r="T181" t="str">
            <v>R</v>
          </cell>
          <cell r="U181" t="str">
            <v>R</v>
          </cell>
          <cell r="V181" t="str">
            <v/>
          </cell>
          <cell r="W181" t="str">
            <v/>
          </cell>
          <cell r="X181">
            <v>100</v>
          </cell>
        </row>
        <row r="182">
          <cell r="A182" t="str">
            <v>2</v>
          </cell>
          <cell r="B182" t="str">
            <v>12</v>
          </cell>
          <cell r="C182" t="str">
            <v>02</v>
          </cell>
          <cell r="E182" t="str">
            <v>2.12.02  Develop Calibration, Inspection and Test Instructions</v>
          </cell>
          <cell r="F182" t="str">
            <v/>
          </cell>
          <cell r="G182" t="str">
            <v/>
          </cell>
          <cell r="H182" t="str">
            <v/>
          </cell>
          <cell r="I182" t="str">
            <v/>
          </cell>
          <cell r="J182" t="str">
            <v>L</v>
          </cell>
          <cell r="K182" t="str">
            <v/>
          </cell>
          <cell r="L182" t="str">
            <v/>
          </cell>
          <cell r="M182" t="str">
            <v/>
          </cell>
          <cell r="N182" t="str">
            <v/>
          </cell>
          <cell r="O182" t="str">
            <v/>
          </cell>
          <cell r="P182" t="str">
            <v>R</v>
          </cell>
          <cell r="Q182" t="str">
            <v>R</v>
          </cell>
          <cell r="R182" t="str">
            <v/>
          </cell>
          <cell r="S182" t="str">
            <v/>
          </cell>
          <cell r="T182" t="str">
            <v>R</v>
          </cell>
          <cell r="U182" t="str">
            <v>R</v>
          </cell>
          <cell r="V182" t="str">
            <v/>
          </cell>
          <cell r="W182" t="str">
            <v/>
          </cell>
          <cell r="X182">
            <v>100</v>
          </cell>
        </row>
        <row r="183">
          <cell r="A183" t="str">
            <v>2</v>
          </cell>
          <cell r="B183" t="str">
            <v>13</v>
          </cell>
          <cell r="C183" t="str">
            <v/>
          </cell>
          <cell r="E183" t="str">
            <v>2.13 Supplier Selection</v>
          </cell>
          <cell r="F183" t="str">
            <v/>
          </cell>
          <cell r="G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  <cell r="N183" t="str">
            <v/>
          </cell>
          <cell r="O183" t="str">
            <v/>
          </cell>
          <cell r="P183" t="str">
            <v>R</v>
          </cell>
          <cell r="Q183" t="str">
            <v>R</v>
          </cell>
          <cell r="R183" t="str">
            <v/>
          </cell>
          <cell r="S183" t="str">
            <v/>
          </cell>
          <cell r="T183" t="str">
            <v>R</v>
          </cell>
          <cell r="U183" t="str">
            <v>R</v>
          </cell>
          <cell r="V183" t="str">
            <v>R</v>
          </cell>
          <cell r="W183" t="str">
            <v>R</v>
          </cell>
          <cell r="Y183">
            <v>1</v>
          </cell>
        </row>
        <row r="184">
          <cell r="A184" t="str">
            <v>2</v>
          </cell>
          <cell r="B184" t="str">
            <v>13</v>
          </cell>
          <cell r="C184" t="str">
            <v>01</v>
          </cell>
          <cell r="E184" t="str">
            <v>2.13.01  Prepare Supplier Bid Packages</v>
          </cell>
          <cell r="F184" t="str">
            <v/>
          </cell>
          <cell r="G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>L</v>
          </cell>
          <cell r="L184" t="str">
            <v/>
          </cell>
          <cell r="M184" t="str">
            <v/>
          </cell>
          <cell r="N184" t="str">
            <v/>
          </cell>
          <cell r="O184" t="str">
            <v/>
          </cell>
          <cell r="P184" t="str">
            <v/>
          </cell>
          <cell r="Q184" t="str">
            <v/>
          </cell>
          <cell r="R184" t="str">
            <v/>
          </cell>
          <cell r="S184" t="str">
            <v/>
          </cell>
          <cell r="T184" t="str">
            <v>R</v>
          </cell>
          <cell r="U184" t="str">
            <v/>
          </cell>
          <cell r="V184" t="str">
            <v/>
          </cell>
          <cell r="W184" t="str">
            <v/>
          </cell>
          <cell r="X184">
            <v>100</v>
          </cell>
        </row>
        <row r="185">
          <cell r="A185" t="str">
            <v>2</v>
          </cell>
          <cell r="B185" t="str">
            <v>13</v>
          </cell>
          <cell r="C185" t="str">
            <v>02</v>
          </cell>
          <cell r="E185" t="str">
            <v>2.13.02  Obtain Early Sourcing Quotes</v>
          </cell>
          <cell r="F185" t="str">
            <v/>
          </cell>
          <cell r="G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>L</v>
          </cell>
          <cell r="L185" t="str">
            <v/>
          </cell>
          <cell r="M185" t="str">
            <v/>
          </cell>
          <cell r="N185" t="str">
            <v/>
          </cell>
          <cell r="O185" t="str">
            <v/>
          </cell>
          <cell r="P185" t="str">
            <v/>
          </cell>
          <cell r="Q185" t="str">
            <v/>
          </cell>
          <cell r="R185" t="str">
            <v/>
          </cell>
          <cell r="S185" t="str">
            <v/>
          </cell>
          <cell r="T185" t="str">
            <v>R</v>
          </cell>
          <cell r="U185" t="str">
            <v/>
          </cell>
          <cell r="V185" t="str">
            <v/>
          </cell>
          <cell r="W185" t="str">
            <v/>
          </cell>
          <cell r="X185">
            <v>100</v>
          </cell>
        </row>
        <row r="186">
          <cell r="A186" t="str">
            <v>2</v>
          </cell>
          <cell r="B186" t="str">
            <v>13</v>
          </cell>
          <cell r="C186" t="str">
            <v>03</v>
          </cell>
          <cell r="E186" t="str">
            <v xml:space="preserve">2.13.03  Obtain Critical Supplier Design Inputs </v>
          </cell>
          <cell r="F186" t="str">
            <v/>
          </cell>
          <cell r="G186" t="str">
            <v/>
          </cell>
          <cell r="H186" t="str">
            <v>L</v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  <cell r="N186" t="str">
            <v/>
          </cell>
          <cell r="O186" t="str">
            <v/>
          </cell>
          <cell r="P186" t="str">
            <v/>
          </cell>
          <cell r="Q186" t="str">
            <v/>
          </cell>
          <cell r="R186" t="str">
            <v/>
          </cell>
          <cell r="S186" t="str">
            <v/>
          </cell>
          <cell r="T186" t="str">
            <v>R</v>
          </cell>
          <cell r="U186" t="str">
            <v/>
          </cell>
          <cell r="V186" t="str">
            <v/>
          </cell>
          <cell r="W186" t="str">
            <v/>
          </cell>
          <cell r="X186">
            <v>100</v>
          </cell>
        </row>
        <row r="187">
          <cell r="A187" t="str">
            <v>2</v>
          </cell>
          <cell r="B187" t="str">
            <v>13</v>
          </cell>
          <cell r="C187" t="str">
            <v>04</v>
          </cell>
          <cell r="E187" t="str">
            <v>2.13.04  Conduct Supplier Pre-award Meetings</v>
          </cell>
          <cell r="F187" t="str">
            <v/>
          </cell>
          <cell r="G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>L</v>
          </cell>
          <cell r="L187" t="str">
            <v/>
          </cell>
          <cell r="M187" t="str">
            <v/>
          </cell>
          <cell r="N187" t="str">
            <v/>
          </cell>
          <cell r="O187" t="str">
            <v/>
          </cell>
          <cell r="P187" t="str">
            <v/>
          </cell>
          <cell r="Q187" t="str">
            <v/>
          </cell>
          <cell r="R187" t="str">
            <v/>
          </cell>
          <cell r="S187" t="str">
            <v/>
          </cell>
          <cell r="T187" t="str">
            <v>R</v>
          </cell>
          <cell r="U187" t="str">
            <v/>
          </cell>
          <cell r="V187" t="str">
            <v/>
          </cell>
          <cell r="W187" t="str">
            <v/>
          </cell>
          <cell r="X187">
            <v>100</v>
          </cell>
        </row>
        <row r="188">
          <cell r="A188" t="str">
            <v>2</v>
          </cell>
          <cell r="B188" t="str">
            <v>13</v>
          </cell>
          <cell r="C188" t="str">
            <v>05</v>
          </cell>
          <cell r="E188" t="str">
            <v>2.13.05  Update Prioritized Sourcing List</v>
          </cell>
          <cell r="F188" t="str">
            <v/>
          </cell>
          <cell r="G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>L</v>
          </cell>
          <cell r="L188" t="str">
            <v/>
          </cell>
          <cell r="M188" t="str">
            <v/>
          </cell>
          <cell r="N188" t="str">
            <v/>
          </cell>
          <cell r="O188" t="str">
            <v/>
          </cell>
          <cell r="P188" t="str">
            <v>R</v>
          </cell>
          <cell r="Q188" t="str">
            <v>R</v>
          </cell>
          <cell r="R188" t="str">
            <v/>
          </cell>
          <cell r="S188" t="str">
            <v/>
          </cell>
          <cell r="T188" t="str">
            <v>R</v>
          </cell>
          <cell r="U188" t="str">
            <v>R</v>
          </cell>
          <cell r="V188" t="str">
            <v/>
          </cell>
          <cell r="W188" t="str">
            <v/>
          </cell>
          <cell r="X188">
            <v>100</v>
          </cell>
        </row>
        <row r="189">
          <cell r="A189" t="str">
            <v>2</v>
          </cell>
          <cell r="B189" t="str">
            <v>13</v>
          </cell>
          <cell r="C189" t="str">
            <v>06</v>
          </cell>
          <cell r="E189" t="str">
            <v>2.13.06  Conduct Critical Supplier APQP Reviews</v>
          </cell>
          <cell r="F189" t="str">
            <v/>
          </cell>
          <cell r="G189" t="str">
            <v/>
          </cell>
          <cell r="H189" t="str">
            <v/>
          </cell>
          <cell r="I189" t="str">
            <v/>
          </cell>
          <cell r="J189" t="str">
            <v>L</v>
          </cell>
          <cell r="K189" t="str">
            <v/>
          </cell>
          <cell r="L189" t="str">
            <v/>
          </cell>
          <cell r="M189" t="str">
            <v/>
          </cell>
          <cell r="N189" t="str">
            <v/>
          </cell>
          <cell r="O189" t="str">
            <v/>
          </cell>
          <cell r="P189" t="str">
            <v>R</v>
          </cell>
          <cell r="Q189" t="str">
            <v>R</v>
          </cell>
          <cell r="R189" t="str">
            <v/>
          </cell>
          <cell r="S189" t="str">
            <v/>
          </cell>
          <cell r="T189" t="str">
            <v>R</v>
          </cell>
          <cell r="U189" t="str">
            <v>R</v>
          </cell>
          <cell r="V189" t="str">
            <v/>
          </cell>
          <cell r="W189" t="str">
            <v/>
          </cell>
          <cell r="X189">
            <v>100</v>
          </cell>
        </row>
        <row r="190">
          <cell r="A190" t="str">
            <v>2</v>
          </cell>
          <cell r="B190" t="str">
            <v>13</v>
          </cell>
          <cell r="C190" t="str">
            <v>07</v>
          </cell>
          <cell r="E190" t="str">
            <v>2.13.07  Complete Supplier Selection and Issue P.O.s</v>
          </cell>
          <cell r="F190" t="str">
            <v/>
          </cell>
          <cell r="G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>L</v>
          </cell>
          <cell r="L190" t="str">
            <v/>
          </cell>
          <cell r="M190" t="str">
            <v/>
          </cell>
          <cell r="N190" t="str">
            <v/>
          </cell>
          <cell r="O190" t="str">
            <v/>
          </cell>
          <cell r="P190" t="str">
            <v/>
          </cell>
          <cell r="Q190" t="str">
            <v/>
          </cell>
          <cell r="R190" t="str">
            <v/>
          </cell>
          <cell r="S190" t="str">
            <v/>
          </cell>
          <cell r="T190" t="str">
            <v>R</v>
          </cell>
          <cell r="U190" t="str">
            <v/>
          </cell>
          <cell r="V190" t="str">
            <v/>
          </cell>
          <cell r="W190" t="str">
            <v/>
          </cell>
          <cell r="X190">
            <v>100</v>
          </cell>
        </row>
        <row r="191">
          <cell r="A191" t="str">
            <v>2</v>
          </cell>
          <cell r="B191" t="str">
            <v>14</v>
          </cell>
          <cell r="C191" t="str">
            <v/>
          </cell>
          <cell r="E191" t="str">
            <v>2.14 Team Feasibility Commitment and Management Support (APQP 2.13)</v>
          </cell>
          <cell r="F191" t="str">
            <v/>
          </cell>
          <cell r="G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  <cell r="N191" t="str">
            <v/>
          </cell>
          <cell r="O191" t="str">
            <v/>
          </cell>
          <cell r="P191" t="str">
            <v>R</v>
          </cell>
          <cell r="Q191" t="str">
            <v>R</v>
          </cell>
          <cell r="R191" t="str">
            <v>R</v>
          </cell>
          <cell r="S191" t="str">
            <v/>
          </cell>
          <cell r="T191" t="str">
            <v>R</v>
          </cell>
          <cell r="U191" t="str">
            <v>R</v>
          </cell>
          <cell r="V191" t="str">
            <v>R</v>
          </cell>
          <cell r="W191" t="str">
            <v>R</v>
          </cell>
          <cell r="Y191">
            <v>1</v>
          </cell>
        </row>
        <row r="192">
          <cell r="A192" t="str">
            <v>2</v>
          </cell>
          <cell r="B192" t="str">
            <v>14</v>
          </cell>
          <cell r="C192" t="str">
            <v>01</v>
          </cell>
          <cell r="E192" t="str">
            <v>2.14.01  Update Project Action Plan</v>
          </cell>
          <cell r="F192" t="str">
            <v/>
          </cell>
          <cell r="G192" t="str">
            <v>L</v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  <cell r="N192" t="str">
            <v/>
          </cell>
          <cell r="O192" t="str">
            <v/>
          </cell>
          <cell r="P192" t="str">
            <v>R</v>
          </cell>
          <cell r="Q192" t="str">
            <v>R</v>
          </cell>
          <cell r="R192" t="str">
            <v>R</v>
          </cell>
          <cell r="S192" t="str">
            <v/>
          </cell>
          <cell r="T192" t="str">
            <v>R</v>
          </cell>
          <cell r="U192" t="str">
            <v>R</v>
          </cell>
          <cell r="V192" t="str">
            <v>R</v>
          </cell>
          <cell r="W192" t="str">
            <v/>
          </cell>
          <cell r="X192">
            <v>100</v>
          </cell>
        </row>
        <row r="193">
          <cell r="A193" t="str">
            <v>2</v>
          </cell>
          <cell r="B193" t="str">
            <v>14</v>
          </cell>
          <cell r="C193" t="str">
            <v>02</v>
          </cell>
          <cell r="E193" t="str">
            <v>2.14.02 Conduct Final Design Review</v>
          </cell>
          <cell r="F193" t="str">
            <v/>
          </cell>
          <cell r="G193" t="str">
            <v>L</v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  <cell r="N193" t="str">
            <v/>
          </cell>
          <cell r="O193" t="str">
            <v/>
          </cell>
          <cell r="P193" t="str">
            <v>R</v>
          </cell>
          <cell r="Q193" t="str">
            <v>R</v>
          </cell>
          <cell r="R193" t="str">
            <v>R</v>
          </cell>
          <cell r="S193" t="str">
            <v/>
          </cell>
          <cell r="T193" t="str">
            <v>R</v>
          </cell>
          <cell r="U193" t="str">
            <v>R</v>
          </cell>
          <cell r="V193" t="str">
            <v>R</v>
          </cell>
          <cell r="W193" t="str">
            <v/>
          </cell>
          <cell r="X193">
            <v>100</v>
          </cell>
        </row>
        <row r="194">
          <cell r="A194" t="str">
            <v>2</v>
          </cell>
          <cell r="B194" t="str">
            <v>14</v>
          </cell>
          <cell r="C194" t="str">
            <v>03</v>
          </cell>
          <cell r="E194" t="str">
            <v>2.14.03  Release Production Product Specifications, BOM, DFMEA's &amp; Special Characteristics List</v>
          </cell>
          <cell r="F194" t="str">
            <v/>
          </cell>
          <cell r="G194" t="str">
            <v/>
          </cell>
          <cell r="H194" t="str">
            <v>L</v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  <cell r="N194" t="str">
            <v/>
          </cell>
          <cell r="O194" t="str">
            <v/>
          </cell>
          <cell r="P194" t="str">
            <v>R</v>
          </cell>
          <cell r="Q194" t="str">
            <v>R</v>
          </cell>
          <cell r="R194" t="str">
            <v>R</v>
          </cell>
          <cell r="S194" t="str">
            <v/>
          </cell>
          <cell r="T194" t="str">
            <v>R</v>
          </cell>
          <cell r="U194" t="str">
            <v>R</v>
          </cell>
          <cell r="V194" t="str">
            <v>R</v>
          </cell>
          <cell r="W194" t="str">
            <v>R</v>
          </cell>
          <cell r="X194">
            <v>100</v>
          </cell>
        </row>
        <row r="195">
          <cell r="A195" t="str">
            <v>2</v>
          </cell>
          <cell r="B195" t="str">
            <v>14</v>
          </cell>
          <cell r="C195" t="str">
            <v>04</v>
          </cell>
          <cell r="E195" t="str">
            <v>2.14.04  Freeze Product Design</v>
          </cell>
          <cell r="F195" t="str">
            <v/>
          </cell>
          <cell r="G195" t="str">
            <v/>
          </cell>
          <cell r="H195" t="str">
            <v>L</v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  <cell r="N195" t="str">
            <v/>
          </cell>
          <cell r="O195" t="str">
            <v/>
          </cell>
          <cell r="P195" t="str">
            <v>R</v>
          </cell>
          <cell r="Q195" t="str">
            <v>R</v>
          </cell>
          <cell r="R195" t="str">
            <v/>
          </cell>
          <cell r="S195" t="str">
            <v/>
          </cell>
          <cell r="T195" t="str">
            <v>R</v>
          </cell>
          <cell r="U195" t="str">
            <v>R</v>
          </cell>
          <cell r="V195" t="str">
            <v/>
          </cell>
          <cell r="W195" t="str">
            <v/>
          </cell>
          <cell r="X195">
            <v>100</v>
          </cell>
        </row>
        <row r="196">
          <cell r="A196" t="str">
            <v>2</v>
          </cell>
          <cell r="B196" t="str">
            <v>14</v>
          </cell>
          <cell r="C196" t="str">
            <v>05</v>
          </cell>
          <cell r="E196" t="str">
            <v>2.14.05  Feasibility Commitment</v>
          </cell>
          <cell r="F196" t="str">
            <v/>
          </cell>
          <cell r="G196" t="str">
            <v>L</v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  <cell r="N196" t="str">
            <v/>
          </cell>
          <cell r="O196" t="str">
            <v/>
          </cell>
          <cell r="P196" t="str">
            <v>R</v>
          </cell>
          <cell r="Q196" t="str">
            <v>R</v>
          </cell>
          <cell r="R196" t="str">
            <v/>
          </cell>
          <cell r="S196" t="str">
            <v/>
          </cell>
          <cell r="T196" t="str">
            <v>R</v>
          </cell>
          <cell r="U196" t="str">
            <v>R</v>
          </cell>
          <cell r="V196" t="str">
            <v>R</v>
          </cell>
          <cell r="W196" t="str">
            <v>R</v>
          </cell>
          <cell r="X196">
            <v>100</v>
          </cell>
        </row>
        <row r="197">
          <cell r="A197" t="str">
            <v>2</v>
          </cell>
          <cell r="B197" t="str">
            <v>14</v>
          </cell>
          <cell r="C197" t="str">
            <v>06</v>
          </cell>
          <cell r="E197" t="str">
            <v>2.14.06  Conduct Phase 2 Gate Review</v>
          </cell>
          <cell r="F197" t="str">
            <v/>
          </cell>
          <cell r="G197" t="str">
            <v>L</v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  <cell r="N197" t="str">
            <v/>
          </cell>
          <cell r="O197" t="str">
            <v/>
          </cell>
          <cell r="P197" t="str">
            <v>R</v>
          </cell>
          <cell r="Q197" t="str">
            <v>R</v>
          </cell>
          <cell r="R197" t="str">
            <v/>
          </cell>
          <cell r="S197" t="str">
            <v/>
          </cell>
          <cell r="T197" t="str">
            <v>R</v>
          </cell>
          <cell r="U197" t="str">
            <v>R</v>
          </cell>
          <cell r="V197" t="str">
            <v>R</v>
          </cell>
          <cell r="W197" t="str">
            <v>R</v>
          </cell>
          <cell r="X197">
            <v>100</v>
          </cell>
        </row>
        <row r="198">
          <cell r="A198">
            <v>999</v>
          </cell>
          <cell r="B198">
            <v>999</v>
          </cell>
          <cell r="C198">
            <v>999</v>
          </cell>
          <cell r="E198" t="str">
            <v/>
          </cell>
          <cell r="P198" t="str">
            <v/>
          </cell>
          <cell r="Q198" t="str">
            <v/>
          </cell>
          <cell r="R198" t="str">
            <v/>
          </cell>
          <cell r="S198" t="str">
            <v/>
          </cell>
          <cell r="T198" t="str">
            <v/>
          </cell>
          <cell r="U198" t="str">
            <v/>
          </cell>
          <cell r="V198" t="str">
            <v/>
          </cell>
          <cell r="W198" t="str">
            <v/>
          </cell>
        </row>
        <row r="199">
          <cell r="A199">
            <v>3</v>
          </cell>
          <cell r="B199" t="str">
            <v>tete</v>
          </cell>
          <cell r="C199" t="str">
            <v/>
          </cell>
          <cell r="E199" t="str">
            <v>PHASE 3:  PROCESS DESIGN AND DEVELOPMENT</v>
          </cell>
          <cell r="G199">
            <v>1</v>
          </cell>
          <cell r="H199">
            <v>1</v>
          </cell>
          <cell r="I199">
            <v>1</v>
          </cell>
          <cell r="J199">
            <v>0.98750000000000004</v>
          </cell>
          <cell r="L199">
            <v>1</v>
          </cell>
          <cell r="P199" t="str">
            <v/>
          </cell>
          <cell r="Q199" t="str">
            <v/>
          </cell>
          <cell r="R199" t="str">
            <v/>
          </cell>
          <cell r="S199" t="str">
            <v/>
          </cell>
          <cell r="T199" t="str">
            <v>R</v>
          </cell>
          <cell r="U199" t="str">
            <v>R</v>
          </cell>
          <cell r="V199" t="str">
            <v>R</v>
          </cell>
          <cell r="W199" t="str">
            <v>R</v>
          </cell>
          <cell r="Y199">
            <v>0.99285714285714288</v>
          </cell>
        </row>
        <row r="200">
          <cell r="A200" t="str">
            <v>3</v>
          </cell>
          <cell r="B200" t="str">
            <v>00</v>
          </cell>
          <cell r="C200" t="str">
            <v/>
          </cell>
          <cell r="E200" t="str">
            <v>3.00 Packaging Standards (APQP 3.1)</v>
          </cell>
          <cell r="F200" t="str">
            <v/>
          </cell>
          <cell r="G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  <cell r="N200" t="str">
            <v/>
          </cell>
          <cell r="O200" t="str">
            <v/>
          </cell>
          <cell r="P200" t="str">
            <v/>
          </cell>
          <cell r="Q200" t="str">
            <v/>
          </cell>
          <cell r="R200" t="str">
            <v/>
          </cell>
          <cell r="S200" t="str">
            <v/>
          </cell>
          <cell r="T200" t="str">
            <v>R</v>
          </cell>
          <cell r="U200" t="str">
            <v/>
          </cell>
          <cell r="V200" t="str">
            <v/>
          </cell>
          <cell r="W200" t="str">
            <v/>
          </cell>
          <cell r="Y200">
            <v>1</v>
          </cell>
        </row>
        <row r="201">
          <cell r="A201" t="str">
            <v>3</v>
          </cell>
          <cell r="B201" t="str">
            <v>00</v>
          </cell>
          <cell r="C201" t="str">
            <v>01</v>
          </cell>
          <cell r="E201" t="str">
            <v>3.00.01 Customer Packaging Standards</v>
          </cell>
          <cell r="F201" t="str">
            <v/>
          </cell>
          <cell r="G201" t="str">
            <v/>
          </cell>
          <cell r="H201" t="str">
            <v/>
          </cell>
          <cell r="I201" t="str">
            <v>L</v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  <cell r="N201" t="str">
            <v/>
          </cell>
          <cell r="O201" t="str">
            <v/>
          </cell>
          <cell r="P201" t="str">
            <v/>
          </cell>
          <cell r="Q201" t="str">
            <v/>
          </cell>
          <cell r="R201" t="str">
            <v/>
          </cell>
          <cell r="S201" t="str">
            <v/>
          </cell>
          <cell r="T201" t="str">
            <v>R</v>
          </cell>
          <cell r="U201" t="str">
            <v/>
          </cell>
          <cell r="V201" t="str">
            <v/>
          </cell>
          <cell r="W201" t="str">
            <v/>
          </cell>
          <cell r="X201">
            <v>100</v>
          </cell>
        </row>
        <row r="202">
          <cell r="A202" t="str">
            <v>3</v>
          </cell>
          <cell r="B202" t="str">
            <v>01</v>
          </cell>
          <cell r="C202" t="str">
            <v/>
          </cell>
          <cell r="E202" t="str">
            <v>3.01 Product/Process Quality System Review (APQP 3.2)</v>
          </cell>
          <cell r="F202" t="str">
            <v/>
          </cell>
          <cell r="G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  <cell r="N202" t="str">
            <v/>
          </cell>
          <cell r="O202" t="str">
            <v/>
          </cell>
          <cell r="P202" t="str">
            <v/>
          </cell>
          <cell r="Q202" t="str">
            <v/>
          </cell>
          <cell r="R202" t="str">
            <v/>
          </cell>
          <cell r="S202" t="str">
            <v/>
          </cell>
          <cell r="T202" t="str">
            <v>R</v>
          </cell>
          <cell r="U202" t="str">
            <v/>
          </cell>
          <cell r="V202" t="str">
            <v/>
          </cell>
          <cell r="W202" t="str">
            <v/>
          </cell>
          <cell r="Y202">
            <v>1</v>
          </cell>
        </row>
        <row r="203">
          <cell r="A203" t="str">
            <v>3</v>
          </cell>
          <cell r="B203" t="str">
            <v>01</v>
          </cell>
          <cell r="C203" t="str">
            <v>01</v>
          </cell>
          <cell r="E203" t="str">
            <v>3.01.01  Review Quality System Procedures</v>
          </cell>
          <cell r="F203" t="str">
            <v/>
          </cell>
          <cell r="G203" t="str">
            <v/>
          </cell>
          <cell r="H203" t="str">
            <v/>
          </cell>
          <cell r="I203" t="str">
            <v/>
          </cell>
          <cell r="J203" t="str">
            <v>L</v>
          </cell>
          <cell r="K203" t="str">
            <v/>
          </cell>
          <cell r="L203" t="str">
            <v/>
          </cell>
          <cell r="M203" t="str">
            <v/>
          </cell>
          <cell r="N203" t="str">
            <v/>
          </cell>
          <cell r="O203" t="str">
            <v/>
          </cell>
          <cell r="P203" t="str">
            <v/>
          </cell>
          <cell r="Q203" t="str">
            <v/>
          </cell>
          <cell r="R203" t="str">
            <v/>
          </cell>
          <cell r="S203" t="str">
            <v/>
          </cell>
          <cell r="T203" t="str">
            <v>R</v>
          </cell>
          <cell r="U203" t="str">
            <v/>
          </cell>
          <cell r="V203" t="str">
            <v/>
          </cell>
          <cell r="W203" t="str">
            <v/>
          </cell>
          <cell r="X203">
            <v>100</v>
          </cell>
        </row>
        <row r="204">
          <cell r="A204" t="str">
            <v>3</v>
          </cell>
          <cell r="B204" t="str">
            <v>01</v>
          </cell>
          <cell r="C204" t="str">
            <v>02</v>
          </cell>
          <cell r="E204" t="str">
            <v>3.01.02  Define Traceability Requirements</v>
          </cell>
          <cell r="F204" t="str">
            <v/>
          </cell>
          <cell r="G204" t="str">
            <v/>
          </cell>
          <cell r="H204" t="str">
            <v/>
          </cell>
          <cell r="I204" t="str">
            <v/>
          </cell>
          <cell r="J204" t="str">
            <v>L</v>
          </cell>
          <cell r="K204" t="str">
            <v/>
          </cell>
          <cell r="L204" t="str">
            <v/>
          </cell>
          <cell r="M204" t="str">
            <v/>
          </cell>
          <cell r="N204" t="str">
            <v/>
          </cell>
          <cell r="O204" t="str">
            <v/>
          </cell>
          <cell r="P204" t="str">
            <v/>
          </cell>
          <cell r="Q204" t="str">
            <v/>
          </cell>
          <cell r="R204" t="str">
            <v/>
          </cell>
          <cell r="S204" t="str">
            <v/>
          </cell>
          <cell r="T204" t="str">
            <v>R</v>
          </cell>
          <cell r="U204" t="str">
            <v/>
          </cell>
          <cell r="V204" t="str">
            <v/>
          </cell>
          <cell r="W204" t="str">
            <v/>
          </cell>
          <cell r="X204">
            <v>100</v>
          </cell>
        </row>
        <row r="205">
          <cell r="A205" t="str">
            <v>3</v>
          </cell>
          <cell r="B205" t="str">
            <v>02</v>
          </cell>
          <cell r="C205" t="str">
            <v/>
          </cell>
          <cell r="E205" t="str">
            <v>3.02 Process Flow Chart (APQP 3.3)</v>
          </cell>
          <cell r="F205" t="str">
            <v/>
          </cell>
          <cell r="G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  <cell r="N205" t="str">
            <v/>
          </cell>
          <cell r="O205" t="str">
            <v/>
          </cell>
          <cell r="P205" t="str">
            <v>R</v>
          </cell>
          <cell r="Q205" t="str">
            <v>R</v>
          </cell>
          <cell r="R205" t="str">
            <v/>
          </cell>
          <cell r="S205" t="str">
            <v/>
          </cell>
          <cell r="T205" t="str">
            <v>R</v>
          </cell>
          <cell r="U205" t="str">
            <v>R</v>
          </cell>
          <cell r="V205" t="str">
            <v/>
          </cell>
          <cell r="W205" t="str">
            <v/>
          </cell>
          <cell r="Y205">
            <v>1</v>
          </cell>
        </row>
        <row r="206">
          <cell r="A206" t="str">
            <v>3</v>
          </cell>
          <cell r="B206" t="str">
            <v>02</v>
          </cell>
          <cell r="C206" t="str">
            <v>01</v>
          </cell>
          <cell r="E206" t="str">
            <v>3.02.01  Perform Process Analyses</v>
          </cell>
          <cell r="F206" t="str">
            <v/>
          </cell>
          <cell r="G206" t="str">
            <v/>
          </cell>
          <cell r="H206" t="str">
            <v/>
          </cell>
          <cell r="I206" t="str">
            <v>L</v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  <cell r="N206" t="str">
            <v/>
          </cell>
          <cell r="O206" t="str">
            <v/>
          </cell>
          <cell r="P206" t="str">
            <v/>
          </cell>
          <cell r="Q206" t="str">
            <v/>
          </cell>
          <cell r="R206" t="str">
            <v/>
          </cell>
          <cell r="S206" t="str">
            <v/>
          </cell>
          <cell r="T206" t="str">
            <v>R</v>
          </cell>
          <cell r="U206" t="str">
            <v/>
          </cell>
          <cell r="V206" t="str">
            <v/>
          </cell>
          <cell r="W206" t="str">
            <v/>
          </cell>
          <cell r="X206">
            <v>100</v>
          </cell>
        </row>
        <row r="207">
          <cell r="A207" t="str">
            <v>3</v>
          </cell>
          <cell r="B207" t="str">
            <v>02</v>
          </cell>
          <cell r="C207" t="str">
            <v>02</v>
          </cell>
          <cell r="E207" t="str">
            <v>3.02.02  Refine  Process Flow Chart</v>
          </cell>
          <cell r="F207" t="str">
            <v/>
          </cell>
          <cell r="G207" t="str">
            <v/>
          </cell>
          <cell r="H207" t="str">
            <v/>
          </cell>
          <cell r="I207" t="str">
            <v>L</v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  <cell r="N207" t="str">
            <v/>
          </cell>
          <cell r="O207" t="str">
            <v/>
          </cell>
          <cell r="P207" t="str">
            <v>R</v>
          </cell>
          <cell r="Q207" t="str">
            <v>R</v>
          </cell>
          <cell r="R207" t="str">
            <v/>
          </cell>
          <cell r="S207" t="str">
            <v/>
          </cell>
          <cell r="T207" t="str">
            <v>R</v>
          </cell>
          <cell r="U207" t="str">
            <v>R</v>
          </cell>
          <cell r="V207" t="str">
            <v/>
          </cell>
          <cell r="W207" t="str">
            <v/>
          </cell>
          <cell r="X207">
            <v>100</v>
          </cell>
        </row>
        <row r="208">
          <cell r="A208" t="str">
            <v>3</v>
          </cell>
          <cell r="B208" t="str">
            <v>03</v>
          </cell>
          <cell r="C208" t="str">
            <v/>
          </cell>
          <cell r="E208" t="str">
            <v>3.03 Floor Plan Layout (APQP 3.4)</v>
          </cell>
          <cell r="F208" t="str">
            <v/>
          </cell>
          <cell r="G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  <cell r="N208" t="str">
            <v/>
          </cell>
          <cell r="O208" t="str">
            <v/>
          </cell>
          <cell r="P208" t="str">
            <v>R</v>
          </cell>
          <cell r="Q208" t="str">
            <v>R</v>
          </cell>
          <cell r="R208" t="str">
            <v/>
          </cell>
          <cell r="S208" t="str">
            <v/>
          </cell>
          <cell r="T208" t="str">
            <v>R</v>
          </cell>
          <cell r="U208" t="str">
            <v>R</v>
          </cell>
          <cell r="V208" t="str">
            <v/>
          </cell>
          <cell r="W208" t="str">
            <v/>
          </cell>
          <cell r="Y208">
            <v>1</v>
          </cell>
        </row>
        <row r="209">
          <cell r="A209" t="str">
            <v>3</v>
          </cell>
          <cell r="B209" t="str">
            <v>03</v>
          </cell>
          <cell r="C209" t="str">
            <v>01</v>
          </cell>
          <cell r="E209" t="str">
            <v>3.03.01  Develop Manufacturing Floor Plan</v>
          </cell>
          <cell r="F209" t="str">
            <v/>
          </cell>
          <cell r="G209" t="str">
            <v/>
          </cell>
          <cell r="H209" t="str">
            <v/>
          </cell>
          <cell r="I209" t="str">
            <v>L</v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  <cell r="N209" t="str">
            <v/>
          </cell>
          <cell r="O209" t="str">
            <v/>
          </cell>
          <cell r="P209" t="str">
            <v>R</v>
          </cell>
          <cell r="Q209" t="str">
            <v>R</v>
          </cell>
          <cell r="R209" t="str">
            <v/>
          </cell>
          <cell r="S209" t="str">
            <v/>
          </cell>
          <cell r="T209" t="str">
            <v>R</v>
          </cell>
          <cell r="U209" t="str">
            <v>R</v>
          </cell>
          <cell r="V209" t="str">
            <v/>
          </cell>
          <cell r="W209" t="str">
            <v/>
          </cell>
          <cell r="X209">
            <v>100</v>
          </cell>
        </row>
        <row r="210">
          <cell r="A210" t="str">
            <v>3</v>
          </cell>
          <cell r="B210" t="str">
            <v>04</v>
          </cell>
          <cell r="C210" t="str">
            <v/>
          </cell>
          <cell r="E210" t="str">
            <v>3.04 Characteristics Matrix (APQP 3.5)</v>
          </cell>
          <cell r="F210" t="str">
            <v/>
          </cell>
          <cell r="G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  <cell r="N210" t="str">
            <v/>
          </cell>
          <cell r="O210" t="str">
            <v/>
          </cell>
          <cell r="P210" t="str">
            <v>R</v>
          </cell>
          <cell r="Q210" t="str">
            <v>R</v>
          </cell>
          <cell r="R210" t="str">
            <v/>
          </cell>
          <cell r="S210" t="str">
            <v/>
          </cell>
          <cell r="T210" t="str">
            <v>R</v>
          </cell>
          <cell r="U210" t="str">
            <v>R</v>
          </cell>
          <cell r="V210" t="str">
            <v/>
          </cell>
          <cell r="W210" t="str">
            <v/>
          </cell>
          <cell r="Y210">
            <v>1</v>
          </cell>
        </row>
        <row r="211">
          <cell r="A211" t="str">
            <v>3</v>
          </cell>
          <cell r="B211" t="str">
            <v>04</v>
          </cell>
          <cell r="C211" t="str">
            <v>01</v>
          </cell>
          <cell r="E211" t="str">
            <v>3.04.01  Update Control Plan</v>
          </cell>
          <cell r="F211" t="str">
            <v/>
          </cell>
          <cell r="G211" t="str">
            <v/>
          </cell>
          <cell r="H211" t="str">
            <v/>
          </cell>
          <cell r="I211" t="str">
            <v/>
          </cell>
          <cell r="J211" t="str">
            <v>L</v>
          </cell>
          <cell r="K211" t="str">
            <v/>
          </cell>
          <cell r="L211" t="str">
            <v/>
          </cell>
          <cell r="M211" t="str">
            <v/>
          </cell>
          <cell r="N211" t="str">
            <v/>
          </cell>
          <cell r="O211" t="str">
            <v/>
          </cell>
          <cell r="P211" t="str">
            <v>R</v>
          </cell>
          <cell r="Q211" t="str">
            <v>R</v>
          </cell>
          <cell r="R211" t="str">
            <v/>
          </cell>
          <cell r="S211" t="str">
            <v/>
          </cell>
          <cell r="T211" t="str">
            <v>R</v>
          </cell>
          <cell r="U211" t="str">
            <v>R</v>
          </cell>
          <cell r="V211" t="str">
            <v>R</v>
          </cell>
          <cell r="W211" t="str">
            <v>R</v>
          </cell>
          <cell r="X211">
            <v>100</v>
          </cell>
        </row>
        <row r="212">
          <cell r="A212" t="str">
            <v>3</v>
          </cell>
          <cell r="B212" t="str">
            <v>05</v>
          </cell>
          <cell r="C212" t="str">
            <v/>
          </cell>
          <cell r="E212" t="str">
            <v>3.05 Process Failure Mode and Effects Analysis (APQP 3.6)</v>
          </cell>
          <cell r="F212" t="str">
            <v/>
          </cell>
          <cell r="G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  <cell r="N212" t="str">
            <v/>
          </cell>
          <cell r="O212" t="str">
            <v/>
          </cell>
          <cell r="P212" t="str">
            <v>R</v>
          </cell>
          <cell r="Q212" t="str">
            <v>R</v>
          </cell>
          <cell r="R212" t="str">
            <v/>
          </cell>
          <cell r="S212" t="str">
            <v/>
          </cell>
          <cell r="T212" t="str">
            <v>R</v>
          </cell>
          <cell r="U212" t="str">
            <v>R</v>
          </cell>
          <cell r="V212" t="str">
            <v/>
          </cell>
          <cell r="W212" t="str">
            <v/>
          </cell>
          <cell r="Y212">
            <v>1</v>
          </cell>
        </row>
        <row r="213">
          <cell r="A213" t="str">
            <v>3</v>
          </cell>
          <cell r="B213" t="str">
            <v>05</v>
          </cell>
          <cell r="C213" t="str">
            <v>01</v>
          </cell>
          <cell r="E213" t="str">
            <v>3.05.01  Develop PFMEAs</v>
          </cell>
          <cell r="F213" t="str">
            <v/>
          </cell>
          <cell r="G213" t="str">
            <v/>
          </cell>
          <cell r="H213" t="str">
            <v/>
          </cell>
          <cell r="I213" t="str">
            <v>L</v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  <cell r="N213" t="str">
            <v/>
          </cell>
          <cell r="O213" t="str">
            <v/>
          </cell>
          <cell r="P213" t="str">
            <v>R</v>
          </cell>
          <cell r="Q213" t="str">
            <v>R</v>
          </cell>
          <cell r="R213" t="str">
            <v/>
          </cell>
          <cell r="S213" t="str">
            <v/>
          </cell>
          <cell r="T213" t="str">
            <v>R</v>
          </cell>
          <cell r="U213" t="str">
            <v>R</v>
          </cell>
          <cell r="V213" t="str">
            <v>R</v>
          </cell>
          <cell r="W213" t="str">
            <v>R</v>
          </cell>
          <cell r="X213">
            <v>100</v>
          </cell>
        </row>
        <row r="214">
          <cell r="A214" t="str">
            <v>3</v>
          </cell>
          <cell r="B214" t="str">
            <v>06</v>
          </cell>
          <cell r="C214" t="str">
            <v/>
          </cell>
          <cell r="E214" t="str">
            <v>3.06 Pre-Launch Control Plan (APQP 3.7)</v>
          </cell>
          <cell r="F214" t="str">
            <v/>
          </cell>
          <cell r="G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  <cell r="N214" t="str">
            <v/>
          </cell>
          <cell r="O214" t="str">
            <v/>
          </cell>
          <cell r="P214" t="str">
            <v>R</v>
          </cell>
          <cell r="Q214" t="str">
            <v>R</v>
          </cell>
          <cell r="R214" t="str">
            <v/>
          </cell>
          <cell r="S214" t="str">
            <v/>
          </cell>
          <cell r="T214" t="str">
            <v>R</v>
          </cell>
          <cell r="U214" t="str">
            <v>R</v>
          </cell>
          <cell r="V214" t="str">
            <v/>
          </cell>
          <cell r="W214" t="str">
            <v/>
          </cell>
          <cell r="Y214">
            <v>1</v>
          </cell>
        </row>
        <row r="215">
          <cell r="A215" t="str">
            <v>3</v>
          </cell>
          <cell r="B215" t="str">
            <v>06</v>
          </cell>
          <cell r="C215" t="str">
            <v>01</v>
          </cell>
          <cell r="E215" t="str">
            <v>3.06.01  Develop Pre-Launch Control Plan</v>
          </cell>
          <cell r="F215" t="str">
            <v/>
          </cell>
          <cell r="G215" t="str">
            <v/>
          </cell>
          <cell r="H215" t="str">
            <v/>
          </cell>
          <cell r="I215" t="str">
            <v/>
          </cell>
          <cell r="J215" t="str">
            <v>L</v>
          </cell>
          <cell r="K215" t="str">
            <v/>
          </cell>
          <cell r="L215" t="str">
            <v/>
          </cell>
          <cell r="M215" t="str">
            <v/>
          </cell>
          <cell r="N215" t="str">
            <v/>
          </cell>
          <cell r="O215" t="str">
            <v/>
          </cell>
          <cell r="P215" t="str">
            <v>R</v>
          </cell>
          <cell r="Q215" t="str">
            <v>R</v>
          </cell>
          <cell r="R215" t="str">
            <v/>
          </cell>
          <cell r="S215" t="str">
            <v/>
          </cell>
          <cell r="T215" t="str">
            <v>R</v>
          </cell>
          <cell r="U215" t="str">
            <v>R</v>
          </cell>
          <cell r="V215" t="str">
            <v/>
          </cell>
          <cell r="W215" t="str">
            <v/>
          </cell>
          <cell r="X215">
            <v>100</v>
          </cell>
        </row>
        <row r="216">
          <cell r="A216" t="str">
            <v>3</v>
          </cell>
          <cell r="B216" t="str">
            <v>07</v>
          </cell>
          <cell r="C216" t="str">
            <v/>
          </cell>
          <cell r="E216" t="str">
            <v>3.07 Process Instructions (APQP 3.8)</v>
          </cell>
          <cell r="F216" t="str">
            <v/>
          </cell>
          <cell r="G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  <cell r="N216" t="str">
            <v/>
          </cell>
          <cell r="O216" t="str">
            <v/>
          </cell>
          <cell r="P216" t="str">
            <v>R</v>
          </cell>
          <cell r="Q216" t="str">
            <v>R</v>
          </cell>
          <cell r="R216" t="str">
            <v/>
          </cell>
          <cell r="S216" t="str">
            <v/>
          </cell>
          <cell r="T216" t="str">
            <v>R</v>
          </cell>
          <cell r="U216" t="str">
            <v>R</v>
          </cell>
          <cell r="V216" t="str">
            <v/>
          </cell>
          <cell r="W216" t="str">
            <v/>
          </cell>
          <cell r="Y216">
            <v>1</v>
          </cell>
        </row>
        <row r="217">
          <cell r="A217" t="str">
            <v>3</v>
          </cell>
          <cell r="B217" t="str">
            <v>07</v>
          </cell>
          <cell r="C217" t="str">
            <v>01</v>
          </cell>
          <cell r="E217" t="str">
            <v>3.07.01  Develop Work Instructions</v>
          </cell>
          <cell r="F217" t="str">
            <v/>
          </cell>
          <cell r="G217" t="str">
            <v/>
          </cell>
          <cell r="H217" t="str">
            <v/>
          </cell>
          <cell r="I217" t="str">
            <v>L</v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  <cell r="N217" t="str">
            <v/>
          </cell>
          <cell r="O217" t="str">
            <v/>
          </cell>
          <cell r="P217" t="str">
            <v>R</v>
          </cell>
          <cell r="Q217" t="str">
            <v>R</v>
          </cell>
          <cell r="R217" t="str">
            <v/>
          </cell>
          <cell r="S217" t="str">
            <v/>
          </cell>
          <cell r="T217" t="str">
            <v>R</v>
          </cell>
          <cell r="U217" t="str">
            <v>R</v>
          </cell>
          <cell r="V217" t="str">
            <v/>
          </cell>
          <cell r="W217" t="str">
            <v/>
          </cell>
          <cell r="X217">
            <v>100</v>
          </cell>
        </row>
        <row r="218">
          <cell r="A218" t="str">
            <v>3</v>
          </cell>
          <cell r="B218" t="str">
            <v>07</v>
          </cell>
          <cell r="C218" t="str">
            <v>02</v>
          </cell>
          <cell r="E218" t="str">
            <v>3.07.02   Identify Production Manufacturing Team &amp; Training Plan</v>
          </cell>
          <cell r="F218" t="str">
            <v/>
          </cell>
          <cell r="G218" t="str">
            <v/>
          </cell>
          <cell r="H218" t="str">
            <v/>
          </cell>
          <cell r="I218" t="str">
            <v>L</v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  <cell r="N218" t="str">
            <v/>
          </cell>
          <cell r="O218" t="str">
            <v/>
          </cell>
          <cell r="P218" t="str">
            <v/>
          </cell>
          <cell r="Q218" t="str">
            <v/>
          </cell>
          <cell r="R218" t="str">
            <v/>
          </cell>
          <cell r="S218" t="str">
            <v/>
          </cell>
          <cell r="T218" t="str">
            <v>R</v>
          </cell>
          <cell r="U218" t="str">
            <v/>
          </cell>
          <cell r="V218" t="str">
            <v/>
          </cell>
          <cell r="W218" t="str">
            <v/>
          </cell>
          <cell r="X218">
            <v>100</v>
          </cell>
        </row>
        <row r="219">
          <cell r="A219" t="str">
            <v>3</v>
          </cell>
          <cell r="B219" t="str">
            <v>08</v>
          </cell>
          <cell r="C219" t="str">
            <v/>
          </cell>
          <cell r="E219" t="str">
            <v>3.08 Measurement Systems Analysis Plan (APQP 3.9)</v>
          </cell>
          <cell r="F219" t="str">
            <v/>
          </cell>
          <cell r="G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  <cell r="N219" t="str">
            <v/>
          </cell>
          <cell r="O219" t="str">
            <v/>
          </cell>
          <cell r="P219" t="str">
            <v>R</v>
          </cell>
          <cell r="Q219" t="str">
            <v>R</v>
          </cell>
          <cell r="R219" t="str">
            <v/>
          </cell>
          <cell r="S219" t="str">
            <v/>
          </cell>
          <cell r="T219" t="str">
            <v>R</v>
          </cell>
          <cell r="U219" t="str">
            <v>R</v>
          </cell>
          <cell r="V219" t="str">
            <v/>
          </cell>
          <cell r="W219" t="str">
            <v/>
          </cell>
          <cell r="Y219">
            <v>0.9</v>
          </cell>
        </row>
        <row r="220">
          <cell r="A220" t="str">
            <v>3</v>
          </cell>
          <cell r="B220" t="str">
            <v>08</v>
          </cell>
          <cell r="C220" t="str">
            <v>01</v>
          </cell>
          <cell r="E220" t="str">
            <v>3.08.01 Develop MSA Plan</v>
          </cell>
          <cell r="F220" t="str">
            <v/>
          </cell>
          <cell r="G220" t="str">
            <v/>
          </cell>
          <cell r="H220" t="str">
            <v/>
          </cell>
          <cell r="I220" t="str">
            <v/>
          </cell>
          <cell r="J220" t="str">
            <v>L</v>
          </cell>
          <cell r="K220" t="str">
            <v/>
          </cell>
          <cell r="L220" t="str">
            <v/>
          </cell>
          <cell r="M220" t="str">
            <v/>
          </cell>
          <cell r="N220" t="str">
            <v/>
          </cell>
          <cell r="O220" t="str">
            <v/>
          </cell>
          <cell r="P220" t="str">
            <v>R</v>
          </cell>
          <cell r="Q220" t="str">
            <v>R</v>
          </cell>
          <cell r="R220" t="str">
            <v/>
          </cell>
          <cell r="S220" t="str">
            <v/>
          </cell>
          <cell r="T220" t="str">
            <v>R</v>
          </cell>
          <cell r="U220" t="str">
            <v>R</v>
          </cell>
          <cell r="V220" t="str">
            <v/>
          </cell>
          <cell r="W220" t="str">
            <v/>
          </cell>
          <cell r="X220">
            <v>90</v>
          </cell>
        </row>
        <row r="221">
          <cell r="A221" t="str">
            <v>3</v>
          </cell>
          <cell r="B221" t="str">
            <v>09</v>
          </cell>
          <cell r="C221" t="str">
            <v/>
          </cell>
          <cell r="E221" t="str">
            <v>3.09 Preliminary Process Capability Study Plan (APQP 3.10)</v>
          </cell>
          <cell r="F221" t="str">
            <v/>
          </cell>
          <cell r="G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  <cell r="N221" t="str">
            <v/>
          </cell>
          <cell r="O221" t="str">
            <v/>
          </cell>
          <cell r="P221" t="str">
            <v/>
          </cell>
          <cell r="Q221" t="str">
            <v/>
          </cell>
          <cell r="R221" t="str">
            <v/>
          </cell>
          <cell r="S221" t="str">
            <v/>
          </cell>
          <cell r="T221" t="str">
            <v>R</v>
          </cell>
          <cell r="U221" t="str">
            <v/>
          </cell>
          <cell r="V221" t="str">
            <v/>
          </cell>
          <cell r="W221" t="str">
            <v/>
          </cell>
          <cell r="Y221">
            <v>1</v>
          </cell>
        </row>
        <row r="222">
          <cell r="A222" t="str">
            <v>3</v>
          </cell>
          <cell r="B222" t="str">
            <v>09</v>
          </cell>
          <cell r="C222" t="str">
            <v>01</v>
          </cell>
          <cell r="E222" t="str">
            <v>3.09.01  Develop Process Capability Plan</v>
          </cell>
          <cell r="F222" t="str">
            <v/>
          </cell>
          <cell r="G222" t="str">
            <v/>
          </cell>
          <cell r="H222" t="str">
            <v/>
          </cell>
          <cell r="I222" t="str">
            <v/>
          </cell>
          <cell r="J222" t="str">
            <v>L</v>
          </cell>
          <cell r="K222" t="str">
            <v/>
          </cell>
          <cell r="L222" t="str">
            <v/>
          </cell>
          <cell r="M222" t="str">
            <v/>
          </cell>
          <cell r="N222" t="str">
            <v/>
          </cell>
          <cell r="O222" t="str">
            <v/>
          </cell>
          <cell r="P222" t="str">
            <v/>
          </cell>
          <cell r="Q222" t="str">
            <v/>
          </cell>
          <cell r="R222" t="str">
            <v/>
          </cell>
          <cell r="S222" t="str">
            <v/>
          </cell>
          <cell r="T222" t="str">
            <v>R</v>
          </cell>
          <cell r="U222" t="str">
            <v/>
          </cell>
          <cell r="V222" t="str">
            <v/>
          </cell>
          <cell r="W222" t="str">
            <v/>
          </cell>
          <cell r="X222">
            <v>100</v>
          </cell>
        </row>
        <row r="223">
          <cell r="A223" t="str">
            <v>3</v>
          </cell>
          <cell r="B223" t="str">
            <v>10</v>
          </cell>
          <cell r="C223" t="str">
            <v/>
          </cell>
          <cell r="E223" t="str">
            <v>3.10 Equipment, Tooling and Gauge Builds</v>
          </cell>
          <cell r="F223" t="str">
            <v/>
          </cell>
          <cell r="G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  <cell r="N223" t="str">
            <v/>
          </cell>
          <cell r="O223" t="str">
            <v/>
          </cell>
          <cell r="P223" t="str">
            <v/>
          </cell>
          <cell r="Q223" t="str">
            <v/>
          </cell>
          <cell r="R223" t="str">
            <v/>
          </cell>
          <cell r="S223" t="str">
            <v/>
          </cell>
          <cell r="T223" t="str">
            <v>R</v>
          </cell>
          <cell r="U223" t="str">
            <v/>
          </cell>
          <cell r="V223" t="str">
            <v/>
          </cell>
          <cell r="W223" t="str">
            <v/>
          </cell>
          <cell r="Y223">
            <v>1</v>
          </cell>
        </row>
        <row r="224">
          <cell r="A224" t="str">
            <v>3</v>
          </cell>
          <cell r="B224" t="str">
            <v>10</v>
          </cell>
          <cell r="C224" t="str">
            <v>01</v>
          </cell>
          <cell r="E224" t="str">
            <v xml:space="preserve">3.10.01  Approve Production Equipment &amp; Tooling Design </v>
          </cell>
          <cell r="F224" t="str">
            <v/>
          </cell>
          <cell r="G224" t="str">
            <v/>
          </cell>
          <cell r="H224" t="str">
            <v/>
          </cell>
          <cell r="I224" t="str">
            <v>L</v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  <cell r="N224" t="str">
            <v/>
          </cell>
          <cell r="O224" t="str">
            <v/>
          </cell>
          <cell r="P224" t="str">
            <v/>
          </cell>
          <cell r="Q224" t="str">
            <v/>
          </cell>
          <cell r="R224" t="str">
            <v/>
          </cell>
          <cell r="S224" t="str">
            <v/>
          </cell>
          <cell r="T224" t="str">
            <v>R</v>
          </cell>
          <cell r="U224" t="str">
            <v>R</v>
          </cell>
          <cell r="V224" t="str">
            <v>R</v>
          </cell>
          <cell r="W224" t="str">
            <v>R</v>
          </cell>
          <cell r="X224">
            <v>100</v>
          </cell>
        </row>
        <row r="225">
          <cell r="A225" t="str">
            <v>3</v>
          </cell>
          <cell r="B225" t="str">
            <v>10</v>
          </cell>
          <cell r="C225" t="str">
            <v>02</v>
          </cell>
          <cell r="E225" t="str">
            <v>3.10.02  Approve Test Equipment &amp; Gage Design</v>
          </cell>
          <cell r="F225" t="str">
            <v/>
          </cell>
          <cell r="G225" t="str">
            <v/>
          </cell>
          <cell r="H225" t="str">
            <v/>
          </cell>
          <cell r="I225" t="str">
            <v/>
          </cell>
          <cell r="J225" t="str">
            <v>L</v>
          </cell>
          <cell r="K225" t="str">
            <v/>
          </cell>
          <cell r="L225" t="str">
            <v/>
          </cell>
          <cell r="M225" t="str">
            <v/>
          </cell>
          <cell r="N225" t="str">
            <v/>
          </cell>
          <cell r="O225" t="str">
            <v/>
          </cell>
          <cell r="P225" t="str">
            <v/>
          </cell>
          <cell r="Q225" t="str">
            <v/>
          </cell>
          <cell r="R225" t="str">
            <v/>
          </cell>
          <cell r="S225" t="str">
            <v/>
          </cell>
          <cell r="T225" t="str">
            <v>R</v>
          </cell>
          <cell r="U225" t="str">
            <v/>
          </cell>
          <cell r="V225" t="str">
            <v/>
          </cell>
          <cell r="W225" t="str">
            <v/>
          </cell>
          <cell r="X225">
            <v>100</v>
          </cell>
        </row>
        <row r="226">
          <cell r="A226" t="str">
            <v>3</v>
          </cell>
          <cell r="B226" t="str">
            <v>10</v>
          </cell>
          <cell r="C226" t="str">
            <v>03</v>
          </cell>
          <cell r="E226" t="str">
            <v xml:space="preserve">3.10.03  Complete Equipment, Tooling &amp; Gauging Builds </v>
          </cell>
          <cell r="F226" t="str">
            <v/>
          </cell>
          <cell r="G226" t="str">
            <v/>
          </cell>
          <cell r="H226" t="str">
            <v/>
          </cell>
          <cell r="I226" t="str">
            <v>L</v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  <cell r="N226" t="str">
            <v/>
          </cell>
          <cell r="O226" t="str">
            <v/>
          </cell>
          <cell r="P226" t="str">
            <v/>
          </cell>
          <cell r="Q226" t="str">
            <v/>
          </cell>
          <cell r="R226" t="str">
            <v/>
          </cell>
          <cell r="S226" t="str">
            <v/>
          </cell>
          <cell r="T226" t="str">
            <v>R</v>
          </cell>
          <cell r="U226" t="str">
            <v/>
          </cell>
          <cell r="V226" t="str">
            <v/>
          </cell>
          <cell r="W226" t="str">
            <v/>
          </cell>
          <cell r="X226">
            <v>100</v>
          </cell>
        </row>
        <row r="227">
          <cell r="A227" t="str">
            <v>3</v>
          </cell>
          <cell r="B227" t="str">
            <v>11</v>
          </cell>
          <cell r="C227" t="str">
            <v/>
          </cell>
          <cell r="E227" t="str">
            <v>3.11 Packaging Specifications (APQP 3.11)</v>
          </cell>
          <cell r="F227" t="str">
            <v/>
          </cell>
          <cell r="G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  <cell r="N227" t="str">
            <v/>
          </cell>
          <cell r="O227" t="str">
            <v/>
          </cell>
          <cell r="P227" t="str">
            <v/>
          </cell>
          <cell r="Q227" t="str">
            <v/>
          </cell>
          <cell r="R227" t="str">
            <v/>
          </cell>
          <cell r="S227" t="str">
            <v/>
          </cell>
          <cell r="T227" t="str">
            <v>R</v>
          </cell>
          <cell r="U227" t="str">
            <v>R</v>
          </cell>
          <cell r="V227" t="str">
            <v>R</v>
          </cell>
          <cell r="W227" t="str">
            <v>R</v>
          </cell>
          <cell r="Y227">
            <v>1</v>
          </cell>
        </row>
        <row r="228">
          <cell r="A228" t="str">
            <v>3</v>
          </cell>
          <cell r="B228" t="str">
            <v>11</v>
          </cell>
          <cell r="C228" t="str">
            <v>01</v>
          </cell>
          <cell r="E228" t="str">
            <v>3.11.01  Define Logistic Specifications</v>
          </cell>
          <cell r="F228" t="str">
            <v/>
          </cell>
          <cell r="G228" t="str">
            <v/>
          </cell>
          <cell r="H228" t="str">
            <v/>
          </cell>
          <cell r="I228" t="str">
            <v>L</v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  <cell r="N228" t="str">
            <v/>
          </cell>
          <cell r="O228" t="str">
            <v/>
          </cell>
          <cell r="P228" t="str">
            <v/>
          </cell>
          <cell r="Q228" t="str">
            <v/>
          </cell>
          <cell r="R228" t="str">
            <v/>
          </cell>
          <cell r="S228" t="str">
            <v/>
          </cell>
          <cell r="T228" t="str">
            <v>R</v>
          </cell>
          <cell r="U228" t="str">
            <v/>
          </cell>
          <cell r="V228" t="str">
            <v/>
          </cell>
          <cell r="W228" t="str">
            <v/>
          </cell>
          <cell r="X228">
            <v>100</v>
          </cell>
        </row>
        <row r="229">
          <cell r="A229" t="str">
            <v>3</v>
          </cell>
          <cell r="B229" t="str">
            <v>11</v>
          </cell>
          <cell r="C229" t="str">
            <v>02</v>
          </cell>
          <cell r="E229" t="str">
            <v>3.11.02  Develop Labeling Specifications</v>
          </cell>
          <cell r="F229" t="str">
            <v/>
          </cell>
          <cell r="G229" t="str">
            <v/>
          </cell>
          <cell r="H229" t="str">
            <v/>
          </cell>
          <cell r="I229" t="str">
            <v>L</v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  <cell r="N229" t="str">
            <v/>
          </cell>
          <cell r="O229" t="str">
            <v/>
          </cell>
          <cell r="P229" t="str">
            <v/>
          </cell>
          <cell r="Q229" t="str">
            <v/>
          </cell>
          <cell r="R229" t="str">
            <v/>
          </cell>
          <cell r="S229" t="str">
            <v/>
          </cell>
          <cell r="T229" t="str">
            <v>R</v>
          </cell>
          <cell r="U229" t="str">
            <v/>
          </cell>
          <cell r="V229" t="str">
            <v/>
          </cell>
          <cell r="W229" t="str">
            <v/>
          </cell>
          <cell r="X229">
            <v>100</v>
          </cell>
        </row>
        <row r="230">
          <cell r="A230" t="str">
            <v>3</v>
          </cell>
          <cell r="B230" t="str">
            <v>11</v>
          </cell>
          <cell r="C230" t="str">
            <v>03</v>
          </cell>
          <cell r="E230" t="str">
            <v>3.11.03  Develop Packaging Specifications</v>
          </cell>
          <cell r="F230" t="str">
            <v/>
          </cell>
          <cell r="G230" t="str">
            <v/>
          </cell>
          <cell r="H230" t="str">
            <v/>
          </cell>
          <cell r="I230" t="str">
            <v>L</v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  <cell r="N230" t="str">
            <v/>
          </cell>
          <cell r="O230" t="str">
            <v/>
          </cell>
          <cell r="P230" t="str">
            <v/>
          </cell>
          <cell r="Q230" t="str">
            <v/>
          </cell>
          <cell r="R230" t="str">
            <v/>
          </cell>
          <cell r="S230" t="str">
            <v/>
          </cell>
          <cell r="T230" t="str">
            <v>R</v>
          </cell>
          <cell r="U230" t="str">
            <v/>
          </cell>
          <cell r="V230" t="str">
            <v/>
          </cell>
          <cell r="W230" t="str">
            <v/>
          </cell>
          <cell r="X230">
            <v>100</v>
          </cell>
        </row>
        <row r="231">
          <cell r="A231" t="str">
            <v>3</v>
          </cell>
          <cell r="B231" t="str">
            <v>12</v>
          </cell>
          <cell r="C231" t="str">
            <v/>
          </cell>
          <cell r="E231" t="str">
            <v>3.12 Warranty and Service Plan Implementation</v>
          </cell>
          <cell r="F231" t="str">
            <v/>
          </cell>
          <cell r="G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  <cell r="N231" t="str">
            <v/>
          </cell>
          <cell r="O231" t="str">
            <v/>
          </cell>
          <cell r="P231" t="str">
            <v/>
          </cell>
          <cell r="Q231" t="str">
            <v/>
          </cell>
          <cell r="R231" t="str">
            <v/>
          </cell>
          <cell r="S231" t="str">
            <v/>
          </cell>
          <cell r="T231" t="str">
            <v>R</v>
          </cell>
          <cell r="U231" t="str">
            <v/>
          </cell>
          <cell r="V231" t="str">
            <v/>
          </cell>
          <cell r="W231" t="str">
            <v/>
          </cell>
          <cell r="Y231">
            <v>1</v>
          </cell>
        </row>
        <row r="232">
          <cell r="A232" t="str">
            <v>3</v>
          </cell>
          <cell r="B232" t="str">
            <v>12</v>
          </cell>
          <cell r="C232" t="str">
            <v>01</v>
          </cell>
          <cell r="E232" t="str">
            <v>3.12.01  Implement Warranty Tracking Plan</v>
          </cell>
          <cell r="F232" t="str">
            <v/>
          </cell>
          <cell r="G232" t="str">
            <v/>
          </cell>
          <cell r="H232" t="str">
            <v/>
          </cell>
          <cell r="I232" t="str">
            <v/>
          </cell>
          <cell r="J232" t="str">
            <v>L</v>
          </cell>
          <cell r="K232" t="str">
            <v/>
          </cell>
          <cell r="L232" t="str">
            <v/>
          </cell>
          <cell r="M232" t="str">
            <v/>
          </cell>
          <cell r="N232" t="str">
            <v/>
          </cell>
          <cell r="O232" t="str">
            <v/>
          </cell>
          <cell r="P232" t="str">
            <v/>
          </cell>
          <cell r="Q232" t="str">
            <v/>
          </cell>
          <cell r="R232" t="str">
            <v/>
          </cell>
          <cell r="S232" t="str">
            <v/>
          </cell>
          <cell r="T232" t="str">
            <v>R</v>
          </cell>
          <cell r="U232" t="str">
            <v/>
          </cell>
          <cell r="V232" t="str">
            <v/>
          </cell>
          <cell r="W232" t="str">
            <v/>
          </cell>
          <cell r="X232">
            <v>100</v>
          </cell>
        </row>
        <row r="233">
          <cell r="A233" t="str">
            <v>3</v>
          </cell>
          <cell r="B233" t="str">
            <v>12</v>
          </cell>
          <cell r="C233" t="str">
            <v>02</v>
          </cell>
          <cell r="E233" t="str">
            <v>3.12.02  Complete Product Service Literature</v>
          </cell>
          <cell r="F233" t="str">
            <v/>
          </cell>
          <cell r="G233" t="str">
            <v/>
          </cell>
          <cell r="H233" t="str">
            <v>L</v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  <cell r="N233" t="str">
            <v/>
          </cell>
          <cell r="O233" t="str">
            <v/>
          </cell>
          <cell r="P233" t="str">
            <v/>
          </cell>
          <cell r="Q233" t="str">
            <v/>
          </cell>
          <cell r="R233" t="str">
            <v/>
          </cell>
          <cell r="S233" t="str">
            <v/>
          </cell>
          <cell r="T233" t="str">
            <v>R</v>
          </cell>
          <cell r="U233" t="str">
            <v/>
          </cell>
          <cell r="V233" t="str">
            <v/>
          </cell>
          <cell r="W233" t="str">
            <v/>
          </cell>
          <cell r="X233">
            <v>100</v>
          </cell>
        </row>
        <row r="234">
          <cell r="A234" t="str">
            <v>3</v>
          </cell>
          <cell r="B234" t="str">
            <v>12</v>
          </cell>
          <cell r="C234" t="str">
            <v>03</v>
          </cell>
          <cell r="E234" t="str">
            <v xml:space="preserve">3.12.03  Train Service &amp; Warranty Administration Personnel </v>
          </cell>
          <cell r="F234" t="str">
            <v/>
          </cell>
          <cell r="G234" t="str">
            <v/>
          </cell>
          <cell r="H234" t="str">
            <v>L</v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  <cell r="N234" t="str">
            <v/>
          </cell>
          <cell r="O234" t="str">
            <v/>
          </cell>
          <cell r="P234" t="str">
            <v/>
          </cell>
          <cell r="Q234" t="str">
            <v/>
          </cell>
          <cell r="R234" t="str">
            <v/>
          </cell>
          <cell r="S234" t="str">
            <v/>
          </cell>
          <cell r="T234" t="str">
            <v>R</v>
          </cell>
          <cell r="U234" t="str">
            <v/>
          </cell>
          <cell r="V234" t="str">
            <v/>
          </cell>
          <cell r="W234" t="str">
            <v/>
          </cell>
          <cell r="X234">
            <v>100</v>
          </cell>
        </row>
        <row r="235">
          <cell r="A235" t="str">
            <v>3</v>
          </cell>
          <cell r="B235" t="str">
            <v>12</v>
          </cell>
          <cell r="C235" t="str">
            <v>04</v>
          </cell>
          <cell r="E235" t="str">
            <v>3.12.04  Train Customer Plant Personnel</v>
          </cell>
          <cell r="F235" t="str">
            <v/>
          </cell>
          <cell r="G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>L</v>
          </cell>
          <cell r="M235" t="str">
            <v/>
          </cell>
          <cell r="N235" t="str">
            <v/>
          </cell>
          <cell r="O235" t="str">
            <v/>
          </cell>
          <cell r="P235" t="str">
            <v/>
          </cell>
          <cell r="Q235" t="str">
            <v/>
          </cell>
          <cell r="R235" t="str">
            <v/>
          </cell>
          <cell r="S235" t="str">
            <v/>
          </cell>
          <cell r="T235" t="str">
            <v>R</v>
          </cell>
          <cell r="U235" t="str">
            <v/>
          </cell>
          <cell r="V235" t="str">
            <v/>
          </cell>
          <cell r="W235" t="str">
            <v/>
          </cell>
          <cell r="X235">
            <v>100</v>
          </cell>
        </row>
        <row r="236">
          <cell r="A236" t="str">
            <v>3</v>
          </cell>
          <cell r="B236" t="str">
            <v>13</v>
          </cell>
          <cell r="C236" t="str">
            <v/>
          </cell>
          <cell r="E236" t="str">
            <v>3.13 Management Support (APQP 3.12)</v>
          </cell>
          <cell r="F236" t="str">
            <v/>
          </cell>
          <cell r="G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  <cell r="N236" t="str">
            <v/>
          </cell>
          <cell r="O236" t="str">
            <v/>
          </cell>
          <cell r="P236" t="str">
            <v>R</v>
          </cell>
          <cell r="Q236" t="str">
            <v>R</v>
          </cell>
          <cell r="R236" t="str">
            <v>R</v>
          </cell>
          <cell r="S236" t="str">
            <v/>
          </cell>
          <cell r="T236" t="str">
            <v>R</v>
          </cell>
          <cell r="U236" t="str">
            <v>R</v>
          </cell>
          <cell r="V236" t="str">
            <v>R</v>
          </cell>
          <cell r="W236" t="str">
            <v>R</v>
          </cell>
          <cell r="Y236">
            <v>1</v>
          </cell>
        </row>
        <row r="237">
          <cell r="A237" t="str">
            <v>3</v>
          </cell>
          <cell r="B237" t="str">
            <v>13</v>
          </cell>
          <cell r="C237" t="str">
            <v>01</v>
          </cell>
          <cell r="E237" t="str">
            <v>3.13.01  Update Project Feasibility &amp; Risk</v>
          </cell>
          <cell r="F237" t="str">
            <v/>
          </cell>
          <cell r="G237" t="str">
            <v>L</v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  <cell r="N237" t="str">
            <v/>
          </cell>
          <cell r="O237" t="str">
            <v/>
          </cell>
          <cell r="P237" t="str">
            <v>R</v>
          </cell>
          <cell r="Q237" t="str">
            <v>R</v>
          </cell>
          <cell r="R237" t="str">
            <v/>
          </cell>
          <cell r="S237" t="str">
            <v/>
          </cell>
          <cell r="T237" t="str">
            <v>R</v>
          </cell>
          <cell r="U237" t="str">
            <v>R</v>
          </cell>
          <cell r="V237" t="str">
            <v/>
          </cell>
          <cell r="W237" t="str">
            <v/>
          </cell>
          <cell r="X237">
            <v>100</v>
          </cell>
        </row>
        <row r="238">
          <cell r="A238" t="str">
            <v>3</v>
          </cell>
          <cell r="B238" t="str">
            <v>13</v>
          </cell>
          <cell r="C238" t="str">
            <v>02</v>
          </cell>
          <cell r="E238" t="str">
            <v>3.13.02  Update Project Action Plan</v>
          </cell>
          <cell r="F238" t="str">
            <v/>
          </cell>
          <cell r="G238" t="str">
            <v>L</v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  <cell r="N238" t="str">
            <v/>
          </cell>
          <cell r="O238" t="str">
            <v/>
          </cell>
          <cell r="P238" t="str">
            <v>R</v>
          </cell>
          <cell r="Q238" t="str">
            <v>R</v>
          </cell>
          <cell r="R238" t="str">
            <v>R</v>
          </cell>
          <cell r="S238" t="str">
            <v/>
          </cell>
          <cell r="T238" t="str">
            <v>R</v>
          </cell>
          <cell r="U238" t="str">
            <v>R</v>
          </cell>
          <cell r="V238" t="str">
            <v>R</v>
          </cell>
          <cell r="W238" t="str">
            <v/>
          </cell>
          <cell r="X238">
            <v>100</v>
          </cell>
        </row>
        <row r="239">
          <cell r="A239" t="str">
            <v>3</v>
          </cell>
          <cell r="B239" t="str">
            <v>13</v>
          </cell>
          <cell r="C239" t="str">
            <v>03</v>
          </cell>
          <cell r="E239" t="str">
            <v>3.13.03  Update Project Work Breakdown Structure and Project Schedule</v>
          </cell>
          <cell r="F239" t="str">
            <v/>
          </cell>
          <cell r="G239" t="str">
            <v>L</v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  <cell r="N239" t="str">
            <v/>
          </cell>
          <cell r="O239" t="str">
            <v/>
          </cell>
          <cell r="P239" t="str">
            <v>R</v>
          </cell>
          <cell r="Q239" t="str">
            <v>R</v>
          </cell>
          <cell r="R239" t="str">
            <v/>
          </cell>
          <cell r="S239" t="str">
            <v/>
          </cell>
          <cell r="T239" t="str">
            <v>R</v>
          </cell>
          <cell r="U239" t="str">
            <v>R</v>
          </cell>
          <cell r="V239" t="str">
            <v/>
          </cell>
          <cell r="W239" t="str">
            <v/>
          </cell>
          <cell r="X239">
            <v>100</v>
          </cell>
        </row>
        <row r="240">
          <cell r="A240" t="str">
            <v>3</v>
          </cell>
          <cell r="B240" t="str">
            <v>13</v>
          </cell>
          <cell r="C240" t="str">
            <v>04</v>
          </cell>
          <cell r="E240" t="str">
            <v>3.13.04  Update Return Map, AR</v>
          </cell>
          <cell r="F240" t="str">
            <v/>
          </cell>
          <cell r="G240" t="str">
            <v>L</v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  <cell r="N240" t="str">
            <v/>
          </cell>
          <cell r="O240" t="str">
            <v/>
          </cell>
          <cell r="P240" t="str">
            <v>R</v>
          </cell>
          <cell r="Q240" t="str">
            <v>R</v>
          </cell>
          <cell r="R240" t="str">
            <v/>
          </cell>
          <cell r="S240" t="str">
            <v/>
          </cell>
          <cell r="T240" t="str">
            <v>R</v>
          </cell>
          <cell r="U240" t="str">
            <v>R</v>
          </cell>
          <cell r="V240" t="str">
            <v/>
          </cell>
          <cell r="W240" t="str">
            <v/>
          </cell>
          <cell r="X240">
            <v>100</v>
          </cell>
        </row>
        <row r="241">
          <cell r="A241" t="str">
            <v>3</v>
          </cell>
          <cell r="B241" t="str">
            <v>13</v>
          </cell>
          <cell r="C241" t="str">
            <v>05</v>
          </cell>
          <cell r="E241" t="str">
            <v>3.13.05  Update Project Metrics</v>
          </cell>
          <cell r="F241" t="str">
            <v/>
          </cell>
          <cell r="G241" t="str">
            <v>L</v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  <cell r="N241" t="str">
            <v/>
          </cell>
          <cell r="O241" t="str">
            <v/>
          </cell>
          <cell r="P241" t="str">
            <v/>
          </cell>
          <cell r="Q241" t="str">
            <v/>
          </cell>
          <cell r="R241" t="str">
            <v/>
          </cell>
          <cell r="S241" t="str">
            <v/>
          </cell>
          <cell r="T241" t="str">
            <v>R</v>
          </cell>
          <cell r="U241" t="str">
            <v>R</v>
          </cell>
          <cell r="V241" t="str">
            <v>R</v>
          </cell>
          <cell r="W241" t="str">
            <v>R</v>
          </cell>
          <cell r="X241">
            <v>100</v>
          </cell>
        </row>
        <row r="242">
          <cell r="A242" t="str">
            <v>3</v>
          </cell>
          <cell r="B242" t="str">
            <v>13</v>
          </cell>
          <cell r="C242" t="str">
            <v>06</v>
          </cell>
          <cell r="E242" t="str">
            <v>3.13.06  Release Process Flow Chart</v>
          </cell>
          <cell r="F242" t="str">
            <v/>
          </cell>
          <cell r="G242" t="str">
            <v/>
          </cell>
          <cell r="H242" t="str">
            <v/>
          </cell>
          <cell r="I242" t="str">
            <v>L</v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  <cell r="N242" t="str">
            <v/>
          </cell>
          <cell r="O242" t="str">
            <v/>
          </cell>
          <cell r="P242" t="str">
            <v>R</v>
          </cell>
          <cell r="Q242" t="str">
            <v>R</v>
          </cell>
          <cell r="R242" t="str">
            <v/>
          </cell>
          <cell r="S242" t="str">
            <v/>
          </cell>
          <cell r="T242" t="str">
            <v>R</v>
          </cell>
          <cell r="U242" t="str">
            <v>R</v>
          </cell>
          <cell r="V242" t="str">
            <v/>
          </cell>
          <cell r="W242" t="str">
            <v/>
          </cell>
          <cell r="X242">
            <v>100</v>
          </cell>
        </row>
        <row r="243">
          <cell r="A243" t="str">
            <v>3</v>
          </cell>
          <cell r="B243" t="str">
            <v>13</v>
          </cell>
          <cell r="C243" t="str">
            <v>07</v>
          </cell>
          <cell r="E243" t="str">
            <v>3.13.07  Conduct Phase 3 Gate Review</v>
          </cell>
          <cell r="F243" t="str">
            <v/>
          </cell>
          <cell r="G243" t="str">
            <v>L</v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  <cell r="N243" t="str">
            <v/>
          </cell>
          <cell r="O243" t="str">
            <v/>
          </cell>
          <cell r="P243" t="str">
            <v>R</v>
          </cell>
          <cell r="Q243" t="str">
            <v>R</v>
          </cell>
          <cell r="R243" t="str">
            <v/>
          </cell>
          <cell r="S243" t="str">
            <v/>
          </cell>
          <cell r="T243" t="str">
            <v>R</v>
          </cell>
          <cell r="U243" t="str">
            <v>R</v>
          </cell>
          <cell r="V243" t="str">
            <v>R</v>
          </cell>
          <cell r="W243" t="str">
            <v>R</v>
          </cell>
          <cell r="X243">
            <v>100</v>
          </cell>
        </row>
        <row r="244">
          <cell r="A244">
            <v>999</v>
          </cell>
          <cell r="B244">
            <v>999</v>
          </cell>
          <cell r="C244">
            <v>999</v>
          </cell>
          <cell r="E244" t="str">
            <v/>
          </cell>
          <cell r="P244" t="str">
            <v/>
          </cell>
          <cell r="Q244" t="str">
            <v/>
          </cell>
          <cell r="R244" t="str">
            <v/>
          </cell>
          <cell r="S244" t="str">
            <v/>
          </cell>
          <cell r="T244" t="str">
            <v/>
          </cell>
          <cell r="U244" t="str">
            <v/>
          </cell>
          <cell r="V244" t="str">
            <v/>
          </cell>
          <cell r="W244" t="str">
            <v/>
          </cell>
        </row>
        <row r="245">
          <cell r="A245">
            <v>4</v>
          </cell>
          <cell r="B245" t="str">
            <v>tete</v>
          </cell>
          <cell r="C245" t="str">
            <v/>
          </cell>
          <cell r="E245" t="str">
            <v>PHASE 4: PRODUCT AND PROCESS VALIDATION</v>
          </cell>
          <cell r="G245">
            <v>0.48</v>
          </cell>
          <cell r="H245">
            <v>0.95</v>
          </cell>
          <cell r="I245">
            <v>0.73049999999999993</v>
          </cell>
          <cell r="J245">
            <v>0.85</v>
          </cell>
          <cell r="L245">
            <v>0.9</v>
          </cell>
          <cell r="P245" t="str">
            <v/>
          </cell>
          <cell r="Q245" t="str">
            <v/>
          </cell>
          <cell r="R245" t="str">
            <v/>
          </cell>
          <cell r="S245" t="str">
            <v/>
          </cell>
          <cell r="T245" t="str">
            <v>R</v>
          </cell>
          <cell r="U245" t="str">
            <v>R</v>
          </cell>
          <cell r="V245" t="str">
            <v>R</v>
          </cell>
          <cell r="W245" t="str">
            <v>R</v>
          </cell>
          <cell r="Y245">
            <v>0.77780598189689099</v>
          </cell>
        </row>
        <row r="246">
          <cell r="A246" t="str">
            <v>4</v>
          </cell>
          <cell r="B246" t="str">
            <v>00</v>
          </cell>
          <cell r="C246" t="str">
            <v/>
          </cell>
          <cell r="E246" t="str">
            <v>4.00 Production Trial Run (APQP 4.1)</v>
          </cell>
          <cell r="F246" t="str">
            <v/>
          </cell>
          <cell r="G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  <cell r="N246" t="str">
            <v/>
          </cell>
          <cell r="O246" t="str">
            <v/>
          </cell>
          <cell r="P246" t="str">
            <v/>
          </cell>
          <cell r="Q246" t="str">
            <v/>
          </cell>
          <cell r="R246" t="str">
            <v/>
          </cell>
          <cell r="S246" t="str">
            <v/>
          </cell>
          <cell r="T246" t="str">
            <v>R</v>
          </cell>
          <cell r="U246" t="str">
            <v/>
          </cell>
          <cell r="V246" t="str">
            <v/>
          </cell>
          <cell r="W246" t="str">
            <v/>
          </cell>
          <cell r="Y246">
            <v>0.73181818181818192</v>
          </cell>
        </row>
        <row r="247">
          <cell r="A247" t="str">
            <v>4</v>
          </cell>
          <cell r="B247" t="str">
            <v>00</v>
          </cell>
          <cell r="C247" t="str">
            <v>01</v>
          </cell>
          <cell r="E247" t="str">
            <v>4.00.01  Validate Production Equipment &amp; Tooling</v>
          </cell>
          <cell r="F247" t="str">
            <v/>
          </cell>
          <cell r="G247" t="str">
            <v/>
          </cell>
          <cell r="H247" t="str">
            <v/>
          </cell>
          <cell r="I247" t="str">
            <v>L</v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  <cell r="N247" t="str">
            <v/>
          </cell>
          <cell r="O247" t="str">
            <v/>
          </cell>
          <cell r="P247" t="str">
            <v/>
          </cell>
          <cell r="Q247" t="str">
            <v/>
          </cell>
          <cell r="R247" t="str">
            <v/>
          </cell>
          <cell r="S247" t="str">
            <v/>
          </cell>
          <cell r="T247" t="str">
            <v>R</v>
          </cell>
          <cell r="U247" t="str">
            <v>R</v>
          </cell>
          <cell r="V247" t="str">
            <v>R</v>
          </cell>
          <cell r="W247" t="str">
            <v>R</v>
          </cell>
          <cell r="X247">
            <v>70</v>
          </cell>
        </row>
        <row r="248">
          <cell r="A248" t="str">
            <v>4</v>
          </cell>
          <cell r="B248" t="str">
            <v>00</v>
          </cell>
          <cell r="C248" t="str">
            <v>02</v>
          </cell>
          <cell r="E248" t="str">
            <v>4.00.02  Validate Test Equipment &amp; Gauging</v>
          </cell>
          <cell r="F248" t="str">
            <v/>
          </cell>
          <cell r="G248" t="str">
            <v/>
          </cell>
          <cell r="H248" t="str">
            <v/>
          </cell>
          <cell r="I248" t="str">
            <v/>
          </cell>
          <cell r="J248" t="str">
            <v>L</v>
          </cell>
          <cell r="K248" t="str">
            <v/>
          </cell>
          <cell r="L248" t="str">
            <v/>
          </cell>
          <cell r="M248" t="str">
            <v/>
          </cell>
          <cell r="N248" t="str">
            <v/>
          </cell>
          <cell r="O248" t="str">
            <v/>
          </cell>
          <cell r="P248" t="str">
            <v/>
          </cell>
          <cell r="Q248" t="str">
            <v/>
          </cell>
          <cell r="R248" t="str">
            <v/>
          </cell>
          <cell r="S248" t="str">
            <v/>
          </cell>
          <cell r="T248" t="str">
            <v>R</v>
          </cell>
          <cell r="U248" t="str">
            <v/>
          </cell>
          <cell r="V248" t="str">
            <v/>
          </cell>
          <cell r="W248" t="str">
            <v/>
          </cell>
          <cell r="X248">
            <v>100</v>
          </cell>
        </row>
        <row r="249">
          <cell r="A249" t="str">
            <v>4</v>
          </cell>
          <cell r="B249" t="str">
            <v>00</v>
          </cell>
          <cell r="C249" t="str">
            <v>03</v>
          </cell>
          <cell r="E249" t="str">
            <v>4.00.03  Install Production Equipment, Tooling &amp; Gauging</v>
          </cell>
          <cell r="F249" t="str">
            <v/>
          </cell>
          <cell r="G249" t="str">
            <v/>
          </cell>
          <cell r="H249" t="str">
            <v/>
          </cell>
          <cell r="I249" t="str">
            <v>L</v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  <cell r="N249" t="str">
            <v/>
          </cell>
          <cell r="O249" t="str">
            <v/>
          </cell>
          <cell r="P249" t="str">
            <v/>
          </cell>
          <cell r="Q249" t="str">
            <v/>
          </cell>
          <cell r="R249" t="str">
            <v/>
          </cell>
          <cell r="S249" t="str">
            <v/>
          </cell>
          <cell r="T249" t="str">
            <v>R</v>
          </cell>
          <cell r="U249" t="str">
            <v/>
          </cell>
          <cell r="V249" t="str">
            <v/>
          </cell>
          <cell r="W249" t="str">
            <v/>
          </cell>
          <cell r="X249">
            <v>80</v>
          </cell>
        </row>
        <row r="250">
          <cell r="A250" t="str">
            <v>4</v>
          </cell>
          <cell r="B250" t="str">
            <v>00</v>
          </cell>
          <cell r="C250" t="str">
            <v>04</v>
          </cell>
          <cell r="E250" t="str">
            <v>4.00.04  Verify Traceability System</v>
          </cell>
          <cell r="F250" t="str">
            <v/>
          </cell>
          <cell r="G250" t="str">
            <v/>
          </cell>
          <cell r="H250" t="str">
            <v/>
          </cell>
          <cell r="I250" t="str">
            <v/>
          </cell>
          <cell r="J250" t="str">
            <v>L</v>
          </cell>
          <cell r="K250" t="str">
            <v/>
          </cell>
          <cell r="L250" t="str">
            <v/>
          </cell>
          <cell r="M250" t="str">
            <v/>
          </cell>
          <cell r="N250" t="str">
            <v/>
          </cell>
          <cell r="O250" t="str">
            <v/>
          </cell>
          <cell r="P250" t="str">
            <v/>
          </cell>
          <cell r="Q250" t="str">
            <v/>
          </cell>
          <cell r="R250" t="str">
            <v/>
          </cell>
          <cell r="S250" t="str">
            <v/>
          </cell>
          <cell r="T250" t="str">
            <v>R</v>
          </cell>
          <cell r="U250" t="str">
            <v/>
          </cell>
          <cell r="V250" t="str">
            <v/>
          </cell>
          <cell r="W250" t="str">
            <v/>
          </cell>
          <cell r="X250">
            <v>100</v>
          </cell>
        </row>
        <row r="251">
          <cell r="A251" t="str">
            <v>4</v>
          </cell>
          <cell r="B251" t="str">
            <v>00</v>
          </cell>
          <cell r="C251" t="str">
            <v>05</v>
          </cell>
          <cell r="E251" t="str">
            <v>4.00.05  Develop Preventative Maintenance Plan</v>
          </cell>
          <cell r="F251" t="str">
            <v/>
          </cell>
          <cell r="G251" t="str">
            <v/>
          </cell>
          <cell r="H251" t="str">
            <v/>
          </cell>
          <cell r="I251" t="str">
            <v>L</v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  <cell r="N251" t="str">
            <v/>
          </cell>
          <cell r="O251" t="str">
            <v/>
          </cell>
          <cell r="P251" t="str">
            <v/>
          </cell>
          <cell r="Q251" t="str">
            <v/>
          </cell>
          <cell r="R251" t="str">
            <v/>
          </cell>
          <cell r="S251" t="str">
            <v/>
          </cell>
          <cell r="T251" t="str">
            <v>R</v>
          </cell>
          <cell r="U251" t="str">
            <v/>
          </cell>
          <cell r="V251" t="str">
            <v/>
          </cell>
          <cell r="W251" t="str">
            <v/>
          </cell>
          <cell r="X251">
            <v>80</v>
          </cell>
        </row>
        <row r="252">
          <cell r="A252" t="str">
            <v>4</v>
          </cell>
          <cell r="B252" t="str">
            <v>00</v>
          </cell>
          <cell r="C252" t="str">
            <v>06</v>
          </cell>
          <cell r="E252" t="str">
            <v>4.00.06  Conduct Job Safety Analysis/HSE Analysis</v>
          </cell>
          <cell r="F252" t="str">
            <v/>
          </cell>
          <cell r="G252" t="str">
            <v/>
          </cell>
          <cell r="H252" t="str">
            <v/>
          </cell>
          <cell r="I252" t="str">
            <v>L</v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  <cell r="N252" t="str">
            <v/>
          </cell>
          <cell r="O252" t="str">
            <v/>
          </cell>
          <cell r="P252" t="str">
            <v/>
          </cell>
          <cell r="Q252" t="str">
            <v/>
          </cell>
          <cell r="R252" t="str">
            <v/>
          </cell>
          <cell r="S252" t="str">
            <v/>
          </cell>
          <cell r="T252" t="str">
            <v>R</v>
          </cell>
          <cell r="U252" t="str">
            <v/>
          </cell>
          <cell r="V252" t="str">
            <v/>
          </cell>
          <cell r="W252" t="str">
            <v/>
          </cell>
          <cell r="X252">
            <v>100</v>
          </cell>
        </row>
        <row r="253">
          <cell r="A253" t="str">
            <v>4</v>
          </cell>
          <cell r="B253" t="str">
            <v>00</v>
          </cell>
          <cell r="C253" t="str">
            <v>07</v>
          </cell>
          <cell r="E253" t="str">
            <v>4.00.07  Train Production Manufacturing Team</v>
          </cell>
          <cell r="F253" t="str">
            <v/>
          </cell>
          <cell r="G253" t="str">
            <v/>
          </cell>
          <cell r="H253" t="str">
            <v/>
          </cell>
          <cell r="I253" t="str">
            <v>L</v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  <cell r="N253" t="str">
            <v/>
          </cell>
          <cell r="O253" t="str">
            <v/>
          </cell>
          <cell r="P253" t="str">
            <v/>
          </cell>
          <cell r="Q253" t="str">
            <v/>
          </cell>
          <cell r="R253" t="str">
            <v/>
          </cell>
          <cell r="S253" t="str">
            <v/>
          </cell>
          <cell r="T253" t="str">
            <v>R</v>
          </cell>
          <cell r="U253" t="str">
            <v/>
          </cell>
          <cell r="V253" t="str">
            <v/>
          </cell>
          <cell r="W253" t="str">
            <v/>
          </cell>
          <cell r="X253">
            <v>25</v>
          </cell>
        </row>
        <row r="254">
          <cell r="A254" t="str">
            <v>4</v>
          </cell>
          <cell r="B254" t="str">
            <v>00</v>
          </cell>
          <cell r="C254" t="str">
            <v>08</v>
          </cell>
          <cell r="E254" t="str">
            <v>4.00.08  Verify Poka Yoke Devices</v>
          </cell>
          <cell r="F254" t="str">
            <v/>
          </cell>
          <cell r="G254" t="str">
            <v/>
          </cell>
          <cell r="H254" t="str">
            <v/>
          </cell>
          <cell r="I254" t="str">
            <v/>
          </cell>
          <cell r="J254" t="str">
            <v>L</v>
          </cell>
          <cell r="K254" t="str">
            <v/>
          </cell>
          <cell r="L254" t="str">
            <v/>
          </cell>
          <cell r="M254" t="str">
            <v/>
          </cell>
          <cell r="N254" t="str">
            <v/>
          </cell>
          <cell r="O254" t="str">
            <v/>
          </cell>
          <cell r="P254" t="str">
            <v/>
          </cell>
          <cell r="Q254" t="str">
            <v/>
          </cell>
          <cell r="R254" t="str">
            <v/>
          </cell>
          <cell r="S254" t="str">
            <v/>
          </cell>
          <cell r="T254" t="str">
            <v>R</v>
          </cell>
          <cell r="U254" t="str">
            <v/>
          </cell>
          <cell r="V254" t="str">
            <v/>
          </cell>
          <cell r="W254" t="str">
            <v/>
          </cell>
          <cell r="X254">
            <v>70</v>
          </cell>
        </row>
        <row r="255">
          <cell r="A255" t="str">
            <v>4</v>
          </cell>
          <cell r="B255" t="str">
            <v>00</v>
          </cell>
          <cell r="C255" t="str">
            <v>09</v>
          </cell>
          <cell r="E255" t="str">
            <v>4.00.09  Review PV Readiness</v>
          </cell>
          <cell r="F255" t="str">
            <v/>
          </cell>
          <cell r="G255" t="str">
            <v/>
          </cell>
          <cell r="H255" t="str">
            <v/>
          </cell>
          <cell r="I255" t="str">
            <v>L</v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  <cell r="N255" t="str">
            <v/>
          </cell>
          <cell r="O255" t="str">
            <v/>
          </cell>
          <cell r="P255" t="str">
            <v/>
          </cell>
          <cell r="Q255" t="str">
            <v/>
          </cell>
          <cell r="R255" t="str">
            <v/>
          </cell>
          <cell r="S255" t="str">
            <v/>
          </cell>
          <cell r="T255" t="str">
            <v>R</v>
          </cell>
          <cell r="U255" t="str">
            <v/>
          </cell>
          <cell r="V255" t="str">
            <v/>
          </cell>
          <cell r="W255" t="str">
            <v/>
          </cell>
          <cell r="X255">
            <v>80</v>
          </cell>
        </row>
        <row r="256">
          <cell r="A256" t="str">
            <v>4</v>
          </cell>
          <cell r="B256" t="str">
            <v>00</v>
          </cell>
          <cell r="C256" t="str">
            <v>10</v>
          </cell>
          <cell r="E256" t="str">
            <v>4.00.10  Conduct Process Line Audit</v>
          </cell>
          <cell r="F256" t="str">
            <v/>
          </cell>
          <cell r="G256" t="str">
            <v/>
          </cell>
          <cell r="H256" t="str">
            <v/>
          </cell>
          <cell r="I256" t="str">
            <v/>
          </cell>
          <cell r="J256" t="str">
            <v>L</v>
          </cell>
          <cell r="K256" t="str">
            <v/>
          </cell>
          <cell r="L256" t="str">
            <v/>
          </cell>
          <cell r="M256" t="str">
            <v/>
          </cell>
          <cell r="N256" t="str">
            <v/>
          </cell>
          <cell r="O256" t="str">
            <v/>
          </cell>
          <cell r="P256" t="str">
            <v/>
          </cell>
          <cell r="Q256" t="str">
            <v/>
          </cell>
          <cell r="R256" t="str">
            <v/>
          </cell>
          <cell r="S256" t="str">
            <v/>
          </cell>
          <cell r="T256" t="str">
            <v>R</v>
          </cell>
          <cell r="U256" t="str">
            <v/>
          </cell>
          <cell r="V256" t="str">
            <v/>
          </cell>
          <cell r="W256" t="str">
            <v/>
          </cell>
          <cell r="X256">
            <v>40</v>
          </cell>
        </row>
        <row r="257">
          <cell r="A257" t="str">
            <v>4</v>
          </cell>
          <cell r="B257" t="str">
            <v>00</v>
          </cell>
          <cell r="C257" t="str">
            <v>11</v>
          </cell>
          <cell r="E257" t="str">
            <v>4.00.11  Build PV Parts</v>
          </cell>
          <cell r="F257" t="str">
            <v/>
          </cell>
          <cell r="G257" t="str">
            <v/>
          </cell>
          <cell r="H257" t="str">
            <v/>
          </cell>
          <cell r="I257" t="str">
            <v>L</v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  <cell r="N257" t="str">
            <v/>
          </cell>
          <cell r="O257" t="str">
            <v/>
          </cell>
          <cell r="P257" t="str">
            <v/>
          </cell>
          <cell r="Q257" t="str">
            <v/>
          </cell>
          <cell r="R257" t="str">
            <v/>
          </cell>
          <cell r="S257" t="str">
            <v/>
          </cell>
          <cell r="T257" t="str">
            <v>R</v>
          </cell>
          <cell r="U257" t="str">
            <v>R</v>
          </cell>
          <cell r="V257" t="str">
            <v>R</v>
          </cell>
          <cell r="W257" t="str">
            <v>R</v>
          </cell>
          <cell r="X257">
            <v>60</v>
          </cell>
        </row>
        <row r="258">
          <cell r="A258" t="str">
            <v>4</v>
          </cell>
          <cell r="B258" t="str">
            <v>01</v>
          </cell>
          <cell r="C258" t="str">
            <v/>
          </cell>
          <cell r="E258" t="str">
            <v>4.01 Measurement Systems Evaluation (APQP 4.2)</v>
          </cell>
          <cell r="F258" t="str">
            <v/>
          </cell>
          <cell r="G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  <cell r="N258" t="str">
            <v/>
          </cell>
          <cell r="O258" t="str">
            <v/>
          </cell>
          <cell r="P258" t="str">
            <v>R</v>
          </cell>
          <cell r="Q258" t="str">
            <v>R</v>
          </cell>
          <cell r="R258" t="str">
            <v/>
          </cell>
          <cell r="S258" t="str">
            <v/>
          </cell>
          <cell r="T258" t="str">
            <v>R</v>
          </cell>
          <cell r="U258" t="str">
            <v>R</v>
          </cell>
          <cell r="V258" t="str">
            <v/>
          </cell>
          <cell r="W258" t="str">
            <v/>
          </cell>
          <cell r="Y258">
            <v>0.8</v>
          </cell>
        </row>
        <row r="259">
          <cell r="A259" t="str">
            <v>4</v>
          </cell>
          <cell r="B259" t="str">
            <v>01</v>
          </cell>
          <cell r="C259" t="str">
            <v>01</v>
          </cell>
          <cell r="E259" t="str">
            <v>4.01.01  Validate Measurement Systems</v>
          </cell>
          <cell r="F259" t="str">
            <v/>
          </cell>
          <cell r="G259" t="str">
            <v/>
          </cell>
          <cell r="H259" t="str">
            <v/>
          </cell>
          <cell r="I259" t="str">
            <v/>
          </cell>
          <cell r="J259" t="str">
            <v>L</v>
          </cell>
          <cell r="K259" t="str">
            <v/>
          </cell>
          <cell r="L259" t="str">
            <v/>
          </cell>
          <cell r="M259" t="str">
            <v/>
          </cell>
          <cell r="N259" t="str">
            <v/>
          </cell>
          <cell r="O259" t="str">
            <v/>
          </cell>
          <cell r="P259" t="str">
            <v>R</v>
          </cell>
          <cell r="Q259" t="str">
            <v>R</v>
          </cell>
          <cell r="R259" t="str">
            <v/>
          </cell>
          <cell r="S259" t="str">
            <v/>
          </cell>
          <cell r="T259" t="str">
            <v>R</v>
          </cell>
          <cell r="U259" t="str">
            <v>R</v>
          </cell>
          <cell r="V259" t="str">
            <v/>
          </cell>
          <cell r="W259" t="str">
            <v/>
          </cell>
          <cell r="X259">
            <v>80</v>
          </cell>
        </row>
        <row r="260">
          <cell r="A260" t="str">
            <v>4</v>
          </cell>
          <cell r="B260" t="str">
            <v>02</v>
          </cell>
          <cell r="C260" t="str">
            <v/>
          </cell>
          <cell r="E260" t="str">
            <v>4.02 Preliminary Process Capability Study (APQP 4.3)</v>
          </cell>
          <cell r="F260" t="str">
            <v/>
          </cell>
          <cell r="G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  <cell r="N260" t="str">
            <v/>
          </cell>
          <cell r="O260" t="str">
            <v/>
          </cell>
          <cell r="P260" t="str">
            <v/>
          </cell>
          <cell r="Q260" t="str">
            <v/>
          </cell>
          <cell r="R260" t="str">
            <v/>
          </cell>
          <cell r="S260" t="str">
            <v/>
          </cell>
          <cell r="T260" t="str">
            <v>R</v>
          </cell>
          <cell r="U260" t="str">
            <v/>
          </cell>
          <cell r="V260" t="str">
            <v/>
          </cell>
          <cell r="W260" t="str">
            <v/>
          </cell>
          <cell r="Y260">
            <v>0.6</v>
          </cell>
        </row>
        <row r="261">
          <cell r="A261" t="str">
            <v>4</v>
          </cell>
          <cell r="B261" t="str">
            <v>02</v>
          </cell>
          <cell r="C261" t="str">
            <v>01</v>
          </cell>
          <cell r="E261" t="str">
            <v>4.02.01  Conduct Equipment/Tooling Trials &amp; Demonstrate Equipment Capability</v>
          </cell>
          <cell r="F261" t="str">
            <v/>
          </cell>
          <cell r="G261" t="str">
            <v/>
          </cell>
          <cell r="H261" t="str">
            <v/>
          </cell>
          <cell r="I261" t="str">
            <v>L</v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  <cell r="N261" t="str">
            <v/>
          </cell>
          <cell r="O261" t="str">
            <v/>
          </cell>
          <cell r="P261" t="str">
            <v/>
          </cell>
          <cell r="Q261" t="str">
            <v/>
          </cell>
          <cell r="R261" t="str">
            <v/>
          </cell>
          <cell r="S261" t="str">
            <v/>
          </cell>
          <cell r="T261" t="str">
            <v>R</v>
          </cell>
          <cell r="U261" t="str">
            <v/>
          </cell>
          <cell r="V261" t="str">
            <v/>
          </cell>
          <cell r="W261" t="str">
            <v/>
          </cell>
          <cell r="X261">
            <v>60</v>
          </cell>
        </row>
        <row r="262">
          <cell r="A262" t="str">
            <v>4</v>
          </cell>
          <cell r="B262" t="str">
            <v>03</v>
          </cell>
          <cell r="C262" t="str">
            <v/>
          </cell>
          <cell r="E262" t="str">
            <v>4.03 Supplier PPAP / PSO</v>
          </cell>
          <cell r="F262" t="str">
            <v/>
          </cell>
          <cell r="G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  <cell r="N262" t="str">
            <v/>
          </cell>
          <cell r="O262" t="str">
            <v/>
          </cell>
          <cell r="P262" t="str">
            <v>R</v>
          </cell>
          <cell r="Q262" t="str">
            <v>R</v>
          </cell>
          <cell r="R262" t="str">
            <v>R</v>
          </cell>
          <cell r="S262" t="str">
            <v/>
          </cell>
          <cell r="T262" t="str">
            <v>R</v>
          </cell>
          <cell r="U262" t="str">
            <v>R</v>
          </cell>
          <cell r="V262" t="str">
            <v>R</v>
          </cell>
          <cell r="W262" t="str">
            <v/>
          </cell>
          <cell r="Y262">
            <v>0.82499999999999996</v>
          </cell>
        </row>
        <row r="263">
          <cell r="A263" t="str">
            <v>4</v>
          </cell>
          <cell r="B263" t="str">
            <v>03</v>
          </cell>
          <cell r="C263" t="str">
            <v>01</v>
          </cell>
          <cell r="E263" t="str">
            <v>4.03.01  Review Supplier APQP Documents</v>
          </cell>
          <cell r="F263" t="str">
            <v/>
          </cell>
          <cell r="G263" t="str">
            <v/>
          </cell>
          <cell r="H263" t="str">
            <v/>
          </cell>
          <cell r="I263" t="str">
            <v/>
          </cell>
          <cell r="J263" t="str">
            <v>L</v>
          </cell>
          <cell r="K263" t="str">
            <v/>
          </cell>
          <cell r="L263" t="str">
            <v/>
          </cell>
          <cell r="M263" t="str">
            <v/>
          </cell>
          <cell r="N263" t="str">
            <v/>
          </cell>
          <cell r="O263" t="str">
            <v/>
          </cell>
          <cell r="P263" t="str">
            <v/>
          </cell>
          <cell r="Q263" t="str">
            <v/>
          </cell>
          <cell r="R263" t="str">
            <v/>
          </cell>
          <cell r="S263" t="str">
            <v/>
          </cell>
          <cell r="T263" t="str">
            <v>R</v>
          </cell>
          <cell r="U263" t="str">
            <v/>
          </cell>
          <cell r="V263" t="str">
            <v/>
          </cell>
          <cell r="W263" t="str">
            <v/>
          </cell>
          <cell r="X263">
            <v>100</v>
          </cell>
        </row>
        <row r="264">
          <cell r="A264" t="str">
            <v>4</v>
          </cell>
          <cell r="B264" t="str">
            <v>03</v>
          </cell>
          <cell r="C264" t="str">
            <v>02</v>
          </cell>
          <cell r="E264" t="str">
            <v>4.03.02  Complete Critical Supplier Process Sign-Offs</v>
          </cell>
          <cell r="F264" t="str">
            <v/>
          </cell>
          <cell r="G264" t="str">
            <v/>
          </cell>
          <cell r="H264" t="str">
            <v/>
          </cell>
          <cell r="I264" t="str">
            <v/>
          </cell>
          <cell r="J264" t="str">
            <v>L</v>
          </cell>
          <cell r="K264" t="str">
            <v/>
          </cell>
          <cell r="L264" t="str">
            <v/>
          </cell>
          <cell r="M264" t="str">
            <v/>
          </cell>
          <cell r="N264" t="str">
            <v/>
          </cell>
          <cell r="O264" t="str">
            <v/>
          </cell>
          <cell r="P264" t="str">
            <v/>
          </cell>
          <cell r="Q264" t="str">
            <v/>
          </cell>
          <cell r="R264" t="str">
            <v/>
          </cell>
          <cell r="S264" t="str">
            <v/>
          </cell>
          <cell r="T264" t="str">
            <v>R</v>
          </cell>
          <cell r="U264" t="str">
            <v/>
          </cell>
          <cell r="V264" t="str">
            <v/>
          </cell>
          <cell r="W264" t="str">
            <v/>
          </cell>
          <cell r="X264">
            <v>60</v>
          </cell>
        </row>
        <row r="265">
          <cell r="A265" t="str">
            <v>4</v>
          </cell>
          <cell r="B265" t="str">
            <v>03</v>
          </cell>
          <cell r="C265" t="str">
            <v>03</v>
          </cell>
          <cell r="E265" t="str">
            <v>4.03.03  Obtain Supplier PPAP Submissions</v>
          </cell>
          <cell r="F265" t="str">
            <v/>
          </cell>
          <cell r="G265" t="str">
            <v/>
          </cell>
          <cell r="H265" t="str">
            <v/>
          </cell>
          <cell r="I265" t="str">
            <v/>
          </cell>
          <cell r="J265" t="str">
            <v>L</v>
          </cell>
          <cell r="K265" t="str">
            <v/>
          </cell>
          <cell r="L265" t="str">
            <v/>
          </cell>
          <cell r="M265" t="str">
            <v/>
          </cell>
          <cell r="N265" t="str">
            <v/>
          </cell>
          <cell r="O265" t="str">
            <v/>
          </cell>
          <cell r="P265" t="str">
            <v>R</v>
          </cell>
          <cell r="Q265" t="str">
            <v>R</v>
          </cell>
          <cell r="R265" t="str">
            <v>R</v>
          </cell>
          <cell r="S265" t="str">
            <v/>
          </cell>
          <cell r="T265" t="str">
            <v>R</v>
          </cell>
          <cell r="U265" t="str">
            <v>R</v>
          </cell>
          <cell r="V265" t="str">
            <v>R</v>
          </cell>
          <cell r="W265" t="str">
            <v/>
          </cell>
          <cell r="X265">
            <v>100</v>
          </cell>
        </row>
        <row r="266">
          <cell r="A266" t="str">
            <v>4</v>
          </cell>
          <cell r="B266" t="str">
            <v>03</v>
          </cell>
          <cell r="C266" t="str">
            <v>04</v>
          </cell>
          <cell r="E266" t="str">
            <v>4.03.04  Verify &amp; Approve Supplier PPAP's</v>
          </cell>
          <cell r="F266" t="str">
            <v/>
          </cell>
          <cell r="G266" t="str">
            <v/>
          </cell>
          <cell r="H266" t="str">
            <v/>
          </cell>
          <cell r="I266" t="str">
            <v/>
          </cell>
          <cell r="J266" t="str">
            <v>L</v>
          </cell>
          <cell r="K266" t="str">
            <v/>
          </cell>
          <cell r="L266" t="str">
            <v/>
          </cell>
          <cell r="M266" t="str">
            <v/>
          </cell>
          <cell r="N266" t="str">
            <v/>
          </cell>
          <cell r="O266" t="str">
            <v/>
          </cell>
          <cell r="P266" t="str">
            <v>R</v>
          </cell>
          <cell r="Q266" t="str">
            <v>R</v>
          </cell>
          <cell r="R266" t="str">
            <v>R</v>
          </cell>
          <cell r="S266" t="str">
            <v/>
          </cell>
          <cell r="T266" t="str">
            <v>R</v>
          </cell>
          <cell r="U266" t="str">
            <v>R</v>
          </cell>
          <cell r="V266" t="str">
            <v>R</v>
          </cell>
          <cell r="W266" t="str">
            <v>R</v>
          </cell>
          <cell r="X266">
            <v>70</v>
          </cell>
        </row>
        <row r="267">
          <cell r="A267" t="str">
            <v>4</v>
          </cell>
          <cell r="B267" t="str">
            <v>04</v>
          </cell>
          <cell r="C267" t="str">
            <v/>
          </cell>
          <cell r="E267" t="str">
            <v>4.04 Production Part Approval (APQP 4.4)</v>
          </cell>
          <cell r="F267" t="str">
            <v/>
          </cell>
          <cell r="G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  <cell r="N267" t="str">
            <v/>
          </cell>
          <cell r="O267" t="str">
            <v/>
          </cell>
          <cell r="P267" t="str">
            <v>R</v>
          </cell>
          <cell r="Q267" t="str">
            <v>R</v>
          </cell>
          <cell r="R267" t="str">
            <v>R</v>
          </cell>
          <cell r="S267" t="str">
            <v/>
          </cell>
          <cell r="T267" t="str">
            <v>R</v>
          </cell>
          <cell r="U267" t="str">
            <v>R</v>
          </cell>
          <cell r="V267" t="str">
            <v>R</v>
          </cell>
          <cell r="W267" t="str">
            <v/>
          </cell>
          <cell r="Y267">
            <v>0.83333333333333326</v>
          </cell>
        </row>
        <row r="268">
          <cell r="A268" t="str">
            <v>4</v>
          </cell>
          <cell r="B268" t="str">
            <v>04</v>
          </cell>
          <cell r="C268" t="str">
            <v>01</v>
          </cell>
          <cell r="E268" t="str">
            <v xml:space="preserve">4.04.01  Complete Dimensional, Material, &amp; Finish Analysis </v>
          </cell>
          <cell r="F268" t="str">
            <v/>
          </cell>
          <cell r="G268" t="str">
            <v/>
          </cell>
          <cell r="H268" t="str">
            <v/>
          </cell>
          <cell r="I268" t="str">
            <v/>
          </cell>
          <cell r="J268" t="str">
            <v>L</v>
          </cell>
          <cell r="K268" t="str">
            <v/>
          </cell>
          <cell r="L268" t="str">
            <v/>
          </cell>
          <cell r="M268" t="str">
            <v/>
          </cell>
          <cell r="N268" t="str">
            <v/>
          </cell>
          <cell r="O268" t="str">
            <v/>
          </cell>
          <cell r="P268" t="str">
            <v/>
          </cell>
          <cell r="Q268" t="str">
            <v/>
          </cell>
          <cell r="R268" t="str">
            <v/>
          </cell>
          <cell r="S268" t="str">
            <v/>
          </cell>
          <cell r="T268" t="str">
            <v>R</v>
          </cell>
          <cell r="U268" t="str">
            <v/>
          </cell>
          <cell r="V268" t="str">
            <v/>
          </cell>
          <cell r="W268" t="str">
            <v/>
          </cell>
          <cell r="X268">
            <v>100</v>
          </cell>
        </row>
        <row r="269">
          <cell r="A269" t="str">
            <v>4</v>
          </cell>
          <cell r="B269" t="str">
            <v>04</v>
          </cell>
          <cell r="C269" t="str">
            <v>02</v>
          </cell>
          <cell r="E269" t="str">
            <v>4.04.02  Prepare PPAP Package</v>
          </cell>
          <cell r="F269" t="str">
            <v/>
          </cell>
          <cell r="G269" t="str">
            <v/>
          </cell>
          <cell r="H269" t="str">
            <v/>
          </cell>
          <cell r="I269" t="str">
            <v/>
          </cell>
          <cell r="J269" t="str">
            <v>L</v>
          </cell>
          <cell r="K269" t="str">
            <v/>
          </cell>
          <cell r="L269" t="str">
            <v/>
          </cell>
          <cell r="M269" t="str">
            <v/>
          </cell>
          <cell r="N269" t="str">
            <v/>
          </cell>
          <cell r="O269" t="str">
            <v/>
          </cell>
          <cell r="P269" t="str">
            <v>R</v>
          </cell>
          <cell r="Q269" t="str">
            <v>R</v>
          </cell>
          <cell r="R269" t="str">
            <v>R</v>
          </cell>
          <cell r="S269" t="str">
            <v/>
          </cell>
          <cell r="T269" t="str">
            <v>R</v>
          </cell>
          <cell r="U269" t="str">
            <v>R</v>
          </cell>
          <cell r="V269" t="str">
            <v>R</v>
          </cell>
          <cell r="W269" t="str">
            <v>R</v>
          </cell>
          <cell r="X269">
            <v>100</v>
          </cell>
        </row>
        <row r="270">
          <cell r="A270" t="str">
            <v>4</v>
          </cell>
          <cell r="B270" t="str">
            <v>04</v>
          </cell>
          <cell r="C270" t="str">
            <v>03</v>
          </cell>
          <cell r="E270" t="str">
            <v xml:space="preserve">4.04.03  Obtain Customer Process Sign-Off </v>
          </cell>
          <cell r="F270" t="str">
            <v/>
          </cell>
          <cell r="G270" t="str">
            <v>L</v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  <cell r="N270" t="str">
            <v/>
          </cell>
          <cell r="O270" t="str">
            <v/>
          </cell>
          <cell r="P270" t="str">
            <v>R</v>
          </cell>
          <cell r="Q270" t="str">
            <v>R</v>
          </cell>
          <cell r="R270" t="str">
            <v>R</v>
          </cell>
          <cell r="S270" t="str">
            <v/>
          </cell>
          <cell r="T270" t="str">
            <v>R</v>
          </cell>
          <cell r="U270" t="str">
            <v>R</v>
          </cell>
          <cell r="V270" t="str">
            <v>R</v>
          </cell>
          <cell r="W270" t="str">
            <v>R</v>
          </cell>
          <cell r="X270">
            <v>60</v>
          </cell>
        </row>
        <row r="271">
          <cell r="A271" t="str">
            <v>4</v>
          </cell>
          <cell r="B271" t="str">
            <v>04</v>
          </cell>
          <cell r="C271" t="str">
            <v>04</v>
          </cell>
          <cell r="E271" t="str">
            <v>4.04.04  Obtain Customer APQP Approvals</v>
          </cell>
          <cell r="F271" t="str">
            <v/>
          </cell>
          <cell r="G271" t="str">
            <v/>
          </cell>
          <cell r="H271" t="str">
            <v/>
          </cell>
          <cell r="I271" t="str">
            <v/>
          </cell>
          <cell r="J271" t="str">
            <v>L</v>
          </cell>
          <cell r="K271" t="str">
            <v/>
          </cell>
          <cell r="L271" t="str">
            <v/>
          </cell>
          <cell r="M271" t="str">
            <v/>
          </cell>
          <cell r="N271" t="str">
            <v/>
          </cell>
          <cell r="O271" t="str">
            <v/>
          </cell>
          <cell r="P271" t="str">
            <v/>
          </cell>
          <cell r="Q271" t="str">
            <v/>
          </cell>
          <cell r="R271" t="str">
            <v/>
          </cell>
          <cell r="S271" t="str">
            <v/>
          </cell>
          <cell r="T271" t="str">
            <v>R</v>
          </cell>
          <cell r="U271" t="str">
            <v>R</v>
          </cell>
          <cell r="V271" t="str">
            <v>R</v>
          </cell>
          <cell r="W271" t="str">
            <v>R</v>
          </cell>
          <cell r="X271">
            <v>70</v>
          </cell>
        </row>
        <row r="272">
          <cell r="A272" t="str">
            <v>4</v>
          </cell>
          <cell r="B272" t="str">
            <v>04</v>
          </cell>
          <cell r="C272" t="str">
            <v>05</v>
          </cell>
          <cell r="E272" t="str">
            <v>4.04.05  Submit/Notify Customer of  PPAP</v>
          </cell>
          <cell r="F272" t="str">
            <v/>
          </cell>
          <cell r="G272" t="str">
            <v/>
          </cell>
          <cell r="H272" t="str">
            <v/>
          </cell>
          <cell r="I272" t="str">
            <v/>
          </cell>
          <cell r="J272" t="str">
            <v>L</v>
          </cell>
          <cell r="K272" t="str">
            <v/>
          </cell>
          <cell r="L272" t="str">
            <v/>
          </cell>
          <cell r="M272" t="str">
            <v/>
          </cell>
          <cell r="N272" t="str">
            <v/>
          </cell>
          <cell r="O272" t="str">
            <v/>
          </cell>
          <cell r="P272" t="str">
            <v/>
          </cell>
          <cell r="Q272" t="str">
            <v/>
          </cell>
          <cell r="R272" t="str">
            <v/>
          </cell>
          <cell r="S272" t="str">
            <v/>
          </cell>
          <cell r="T272" t="str">
            <v>R</v>
          </cell>
          <cell r="U272" t="str">
            <v/>
          </cell>
          <cell r="V272" t="str">
            <v/>
          </cell>
          <cell r="W272" t="str">
            <v/>
          </cell>
          <cell r="X272">
            <v>100</v>
          </cell>
        </row>
        <row r="273">
          <cell r="A273" t="str">
            <v>4</v>
          </cell>
          <cell r="B273" t="str">
            <v>04</v>
          </cell>
          <cell r="C273" t="str">
            <v>06</v>
          </cell>
          <cell r="E273" t="str">
            <v>4.04.06  Obtain Customer PPAP Approval</v>
          </cell>
          <cell r="F273" t="str">
            <v/>
          </cell>
          <cell r="G273" t="str">
            <v/>
          </cell>
          <cell r="H273" t="str">
            <v/>
          </cell>
          <cell r="I273" t="str">
            <v/>
          </cell>
          <cell r="J273" t="str">
            <v>L</v>
          </cell>
          <cell r="K273" t="str">
            <v/>
          </cell>
          <cell r="L273" t="str">
            <v/>
          </cell>
          <cell r="M273" t="str">
            <v/>
          </cell>
          <cell r="N273" t="str">
            <v/>
          </cell>
          <cell r="O273" t="str">
            <v/>
          </cell>
          <cell r="P273" t="str">
            <v>R</v>
          </cell>
          <cell r="Q273" t="str">
            <v>R</v>
          </cell>
          <cell r="R273" t="str">
            <v/>
          </cell>
          <cell r="S273" t="str">
            <v/>
          </cell>
          <cell r="T273" t="str">
            <v>R</v>
          </cell>
          <cell r="U273" t="str">
            <v>R</v>
          </cell>
          <cell r="V273" t="str">
            <v>R</v>
          </cell>
          <cell r="W273" t="str">
            <v>R</v>
          </cell>
          <cell r="X273">
            <v>70</v>
          </cell>
        </row>
        <row r="274">
          <cell r="A274" t="str">
            <v>4</v>
          </cell>
          <cell r="B274" t="str">
            <v>05</v>
          </cell>
          <cell r="C274" t="str">
            <v/>
          </cell>
          <cell r="E274" t="str">
            <v>4.05 Production Validation Testing (APQP 4.5)</v>
          </cell>
          <cell r="F274" t="str">
            <v/>
          </cell>
          <cell r="G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  <cell r="N274" t="str">
            <v/>
          </cell>
          <cell r="O274" t="str">
            <v/>
          </cell>
          <cell r="P274" t="str">
            <v>R</v>
          </cell>
          <cell r="Q274" t="str">
            <v>R</v>
          </cell>
          <cell r="R274" t="str">
            <v>R</v>
          </cell>
          <cell r="S274" t="str">
            <v/>
          </cell>
          <cell r="T274" t="str">
            <v>R</v>
          </cell>
          <cell r="U274" t="str">
            <v>R</v>
          </cell>
          <cell r="V274" t="str">
            <v>R</v>
          </cell>
          <cell r="W274" t="str">
            <v/>
          </cell>
          <cell r="Y274">
            <v>0.95</v>
          </cell>
        </row>
        <row r="275">
          <cell r="A275" t="str">
            <v>4</v>
          </cell>
          <cell r="B275" t="str">
            <v>05</v>
          </cell>
          <cell r="C275" t="str">
            <v>01</v>
          </cell>
          <cell r="E275" t="str">
            <v>4.05.01  Update Production Control Plan</v>
          </cell>
          <cell r="F275" t="str">
            <v/>
          </cell>
          <cell r="G275" t="str">
            <v/>
          </cell>
          <cell r="H275" t="str">
            <v/>
          </cell>
          <cell r="I275" t="str">
            <v/>
          </cell>
          <cell r="J275" t="str">
            <v>L</v>
          </cell>
          <cell r="K275" t="str">
            <v/>
          </cell>
          <cell r="L275" t="str">
            <v/>
          </cell>
          <cell r="M275" t="str">
            <v/>
          </cell>
          <cell r="N275" t="str">
            <v/>
          </cell>
          <cell r="O275" t="str">
            <v/>
          </cell>
          <cell r="P275" t="str">
            <v>R</v>
          </cell>
          <cell r="Q275" t="str">
            <v>R</v>
          </cell>
          <cell r="R275" t="str">
            <v>R</v>
          </cell>
          <cell r="S275" t="str">
            <v/>
          </cell>
          <cell r="T275" t="str">
            <v>R</v>
          </cell>
          <cell r="U275" t="str">
            <v>R</v>
          </cell>
          <cell r="V275" t="str">
            <v>R</v>
          </cell>
          <cell r="W275" t="str">
            <v/>
          </cell>
          <cell r="X275">
            <v>100</v>
          </cell>
        </row>
        <row r="276">
          <cell r="A276" t="str">
            <v>4</v>
          </cell>
          <cell r="B276" t="str">
            <v>05</v>
          </cell>
          <cell r="C276" t="str">
            <v>02</v>
          </cell>
          <cell r="E276" t="str">
            <v>4.05.02  Update Process Documentation</v>
          </cell>
          <cell r="F276" t="str">
            <v/>
          </cell>
          <cell r="G276" t="str">
            <v/>
          </cell>
          <cell r="H276" t="str">
            <v/>
          </cell>
          <cell r="I276" t="str">
            <v>L</v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  <cell r="N276" t="str">
            <v/>
          </cell>
          <cell r="O276" t="str">
            <v/>
          </cell>
          <cell r="P276" t="str">
            <v/>
          </cell>
          <cell r="Q276" t="str">
            <v/>
          </cell>
          <cell r="R276" t="str">
            <v/>
          </cell>
          <cell r="S276" t="str">
            <v/>
          </cell>
          <cell r="T276" t="str">
            <v>R</v>
          </cell>
          <cell r="U276" t="str">
            <v/>
          </cell>
          <cell r="V276" t="str">
            <v/>
          </cell>
          <cell r="W276" t="str">
            <v/>
          </cell>
          <cell r="X276">
            <v>80</v>
          </cell>
        </row>
        <row r="277">
          <cell r="A277" t="str">
            <v>4</v>
          </cell>
          <cell r="B277" t="str">
            <v>05</v>
          </cell>
          <cell r="C277" t="str">
            <v>03</v>
          </cell>
          <cell r="E277" t="str">
            <v>4.05.03  Update Standard Costs</v>
          </cell>
          <cell r="F277" t="str">
            <v/>
          </cell>
          <cell r="G277" t="str">
            <v/>
          </cell>
          <cell r="H277" t="str">
            <v/>
          </cell>
          <cell r="I277" t="str">
            <v>L</v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  <cell r="N277" t="str">
            <v/>
          </cell>
          <cell r="O277" t="str">
            <v/>
          </cell>
          <cell r="P277" t="str">
            <v/>
          </cell>
          <cell r="Q277" t="str">
            <v/>
          </cell>
          <cell r="R277" t="str">
            <v/>
          </cell>
          <cell r="S277" t="str">
            <v/>
          </cell>
          <cell r="T277" t="str">
            <v>R</v>
          </cell>
          <cell r="U277" t="str">
            <v>R</v>
          </cell>
          <cell r="V277" t="str">
            <v>R</v>
          </cell>
          <cell r="W277" t="str">
            <v>R</v>
          </cell>
          <cell r="X277">
            <v>100</v>
          </cell>
        </row>
        <row r="278">
          <cell r="A278" t="str">
            <v>4</v>
          </cell>
          <cell r="B278" t="str">
            <v>05</v>
          </cell>
          <cell r="C278" t="str">
            <v>04</v>
          </cell>
          <cell r="E278" t="str">
            <v>4.05.04  Test PV Parts</v>
          </cell>
          <cell r="F278" t="str">
            <v/>
          </cell>
          <cell r="G278" t="str">
            <v/>
          </cell>
          <cell r="H278" t="str">
            <v>L</v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  <cell r="N278" t="str">
            <v/>
          </cell>
          <cell r="O278" t="str">
            <v/>
          </cell>
          <cell r="P278" t="str">
            <v/>
          </cell>
          <cell r="Q278" t="str">
            <v/>
          </cell>
          <cell r="R278" t="str">
            <v/>
          </cell>
          <cell r="S278" t="str">
            <v/>
          </cell>
          <cell r="T278" t="str">
            <v>R</v>
          </cell>
          <cell r="U278" t="str">
            <v/>
          </cell>
          <cell r="V278" t="str">
            <v/>
          </cell>
          <cell r="W278" t="str">
            <v/>
          </cell>
          <cell r="X278">
            <v>100</v>
          </cell>
        </row>
        <row r="279">
          <cell r="A279" t="str">
            <v>4</v>
          </cell>
          <cell r="B279" t="str">
            <v>05</v>
          </cell>
          <cell r="C279" t="str">
            <v>05</v>
          </cell>
          <cell r="E279" t="str">
            <v xml:space="preserve">4.05.05  Complete Product Validation Plan and Report </v>
          </cell>
          <cell r="F279" t="str">
            <v/>
          </cell>
          <cell r="G279" t="str">
            <v/>
          </cell>
          <cell r="H279" t="str">
            <v>L</v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  <cell r="N279" t="str">
            <v/>
          </cell>
          <cell r="O279" t="str">
            <v/>
          </cell>
          <cell r="P279" t="str">
            <v>R</v>
          </cell>
          <cell r="Q279" t="str">
            <v>R</v>
          </cell>
          <cell r="R279" t="str">
            <v>R</v>
          </cell>
          <cell r="S279" t="str">
            <v/>
          </cell>
          <cell r="T279" t="str">
            <v>R</v>
          </cell>
          <cell r="U279" t="str">
            <v>R</v>
          </cell>
          <cell r="V279" t="str">
            <v>R</v>
          </cell>
          <cell r="W279" t="str">
            <v/>
          </cell>
          <cell r="X279">
            <v>100</v>
          </cell>
        </row>
        <row r="280">
          <cell r="A280" t="str">
            <v>4</v>
          </cell>
          <cell r="B280" t="str">
            <v>05</v>
          </cell>
          <cell r="C280" t="str">
            <v>06</v>
          </cell>
          <cell r="E280" t="str">
            <v>4.05.06  Implement Fleet Testing</v>
          </cell>
          <cell r="F280" t="str">
            <v/>
          </cell>
          <cell r="G280" t="str">
            <v/>
          </cell>
          <cell r="H280" t="str">
            <v>L</v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  <cell r="N280" t="str">
            <v/>
          </cell>
          <cell r="O280" t="str">
            <v/>
          </cell>
          <cell r="P280" t="str">
            <v/>
          </cell>
          <cell r="Q280" t="str">
            <v/>
          </cell>
          <cell r="R280" t="str">
            <v/>
          </cell>
          <cell r="S280" t="str">
            <v/>
          </cell>
          <cell r="T280" t="str">
            <v>R</v>
          </cell>
          <cell r="U280" t="str">
            <v/>
          </cell>
          <cell r="V280" t="str">
            <v/>
          </cell>
          <cell r="W280" t="str">
            <v/>
          </cell>
          <cell r="X280">
            <v>100</v>
          </cell>
        </row>
        <row r="281">
          <cell r="A281" t="str">
            <v>4</v>
          </cell>
          <cell r="B281" t="str">
            <v>05</v>
          </cell>
          <cell r="C281" t="str">
            <v>07</v>
          </cell>
          <cell r="E281" t="str">
            <v>4.05.07  Verify Product Passes Regulatory Testing</v>
          </cell>
          <cell r="F281" t="str">
            <v/>
          </cell>
          <cell r="G281" t="str">
            <v/>
          </cell>
          <cell r="H281" t="str">
            <v>L</v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  <cell r="N281" t="str">
            <v/>
          </cell>
          <cell r="O281" t="str">
            <v/>
          </cell>
          <cell r="P281" t="str">
            <v/>
          </cell>
          <cell r="Q281" t="str">
            <v/>
          </cell>
          <cell r="R281" t="str">
            <v/>
          </cell>
          <cell r="S281" t="str">
            <v/>
          </cell>
          <cell r="T281" t="str">
            <v>R</v>
          </cell>
          <cell r="U281" t="str">
            <v/>
          </cell>
          <cell r="V281" t="str">
            <v/>
          </cell>
          <cell r="W281" t="str">
            <v/>
          </cell>
          <cell r="X281">
            <v>100</v>
          </cell>
        </row>
        <row r="282">
          <cell r="A282" t="str">
            <v>4</v>
          </cell>
          <cell r="B282" t="str">
            <v>05</v>
          </cell>
          <cell r="C282" t="str">
            <v>08</v>
          </cell>
          <cell r="E282" t="str">
            <v>4.05.08  Validate Product Simulation &amp; Analysis Models</v>
          </cell>
          <cell r="F282" t="str">
            <v/>
          </cell>
          <cell r="G282" t="str">
            <v/>
          </cell>
          <cell r="H282" t="str">
            <v>L</v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  <cell r="N282" t="str">
            <v/>
          </cell>
          <cell r="O282" t="str">
            <v/>
          </cell>
          <cell r="P282" t="str">
            <v/>
          </cell>
          <cell r="Q282" t="str">
            <v/>
          </cell>
          <cell r="R282" t="str">
            <v/>
          </cell>
          <cell r="S282" t="str">
            <v/>
          </cell>
          <cell r="T282" t="str">
            <v>R</v>
          </cell>
          <cell r="U282" t="str">
            <v/>
          </cell>
          <cell r="V282" t="str">
            <v/>
          </cell>
          <cell r="W282" t="str">
            <v/>
          </cell>
          <cell r="X282">
            <v>80</v>
          </cell>
        </row>
        <row r="283">
          <cell r="A283" t="str">
            <v>4</v>
          </cell>
          <cell r="B283" t="str">
            <v>06</v>
          </cell>
          <cell r="C283" t="str">
            <v/>
          </cell>
          <cell r="E283" t="str">
            <v>4.06 Packaging Evaluation (APQP 4.6)</v>
          </cell>
          <cell r="F283" t="str">
            <v/>
          </cell>
          <cell r="G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  <cell r="N283" t="str">
            <v/>
          </cell>
          <cell r="O283" t="str">
            <v/>
          </cell>
          <cell r="P283" t="str">
            <v/>
          </cell>
          <cell r="Q283" t="str">
            <v/>
          </cell>
          <cell r="R283" t="str">
            <v/>
          </cell>
          <cell r="S283" t="str">
            <v/>
          </cell>
          <cell r="T283" t="str">
            <v>R</v>
          </cell>
          <cell r="U283" t="str">
            <v/>
          </cell>
          <cell r="V283" t="str">
            <v/>
          </cell>
          <cell r="W283" t="str">
            <v/>
          </cell>
          <cell r="Y283">
            <v>0.9</v>
          </cell>
        </row>
        <row r="284">
          <cell r="A284" t="str">
            <v>4</v>
          </cell>
          <cell r="B284" t="str">
            <v>06</v>
          </cell>
          <cell r="C284" t="str">
            <v>01</v>
          </cell>
          <cell r="E284" t="str">
            <v>4.06.01  Conduct Trial Shipments</v>
          </cell>
          <cell r="F284" t="str">
            <v/>
          </cell>
          <cell r="G284" t="str">
            <v/>
          </cell>
          <cell r="H284" t="str">
            <v/>
          </cell>
          <cell r="I284" t="str">
            <v>L</v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  <cell r="N284" t="str">
            <v/>
          </cell>
          <cell r="O284" t="str">
            <v/>
          </cell>
          <cell r="P284" t="str">
            <v/>
          </cell>
          <cell r="Q284" t="str">
            <v/>
          </cell>
          <cell r="R284" t="str">
            <v/>
          </cell>
          <cell r="S284" t="str">
            <v/>
          </cell>
          <cell r="T284" t="str">
            <v>R</v>
          </cell>
          <cell r="U284" t="str">
            <v/>
          </cell>
          <cell r="V284" t="str">
            <v/>
          </cell>
          <cell r="W284" t="str">
            <v/>
          </cell>
          <cell r="X284">
            <v>70</v>
          </cell>
        </row>
        <row r="285">
          <cell r="A285" t="str">
            <v>4</v>
          </cell>
          <cell r="B285" t="str">
            <v>06</v>
          </cell>
          <cell r="C285" t="str">
            <v>02</v>
          </cell>
          <cell r="E285" t="str">
            <v>4.06.02  Obtain Customer Packaging Approval</v>
          </cell>
          <cell r="F285" t="str">
            <v/>
          </cell>
          <cell r="G285" t="str">
            <v/>
          </cell>
          <cell r="H285" t="str">
            <v/>
          </cell>
          <cell r="I285" t="str">
            <v>L</v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  <cell r="N285" t="str">
            <v/>
          </cell>
          <cell r="O285" t="str">
            <v/>
          </cell>
          <cell r="P285" t="str">
            <v/>
          </cell>
          <cell r="Q285" t="str">
            <v/>
          </cell>
          <cell r="R285" t="str">
            <v/>
          </cell>
          <cell r="S285" t="str">
            <v/>
          </cell>
          <cell r="T285" t="str">
            <v>R</v>
          </cell>
          <cell r="U285" t="str">
            <v/>
          </cell>
          <cell r="V285" t="str">
            <v/>
          </cell>
          <cell r="W285" t="str">
            <v/>
          </cell>
          <cell r="X285">
            <v>100</v>
          </cell>
        </row>
        <row r="286">
          <cell r="A286" t="str">
            <v>4</v>
          </cell>
          <cell r="B286" t="str">
            <v>06</v>
          </cell>
          <cell r="C286" t="str">
            <v>03</v>
          </cell>
          <cell r="E286" t="str">
            <v>4.06.03  Order &amp; Receive Packaging/Containers</v>
          </cell>
          <cell r="F286" t="str">
            <v/>
          </cell>
          <cell r="G286" t="str">
            <v/>
          </cell>
          <cell r="H286" t="str">
            <v/>
          </cell>
          <cell r="I286" t="str">
            <v>L</v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  <cell r="N286" t="str">
            <v/>
          </cell>
          <cell r="O286" t="str">
            <v/>
          </cell>
          <cell r="P286" t="str">
            <v/>
          </cell>
          <cell r="Q286" t="str">
            <v/>
          </cell>
          <cell r="R286" t="str">
            <v/>
          </cell>
          <cell r="S286" t="str">
            <v/>
          </cell>
          <cell r="T286" t="str">
            <v>R</v>
          </cell>
          <cell r="U286" t="str">
            <v/>
          </cell>
          <cell r="V286" t="str">
            <v/>
          </cell>
          <cell r="W286" t="str">
            <v/>
          </cell>
          <cell r="X286">
            <v>100</v>
          </cell>
        </row>
        <row r="287">
          <cell r="A287" t="str">
            <v>4</v>
          </cell>
          <cell r="B287" t="str">
            <v>07</v>
          </cell>
          <cell r="C287" t="str">
            <v/>
          </cell>
          <cell r="E287" t="str">
            <v>4.07 Production Control Plan (APQP 4.7)</v>
          </cell>
          <cell r="F287" t="str">
            <v/>
          </cell>
          <cell r="G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  <cell r="N287" t="str">
            <v/>
          </cell>
          <cell r="O287" t="str">
            <v/>
          </cell>
          <cell r="P287" t="str">
            <v>R</v>
          </cell>
          <cell r="Q287" t="str">
            <v>R</v>
          </cell>
          <cell r="R287" t="str">
            <v>R</v>
          </cell>
          <cell r="S287" t="str">
            <v/>
          </cell>
          <cell r="T287" t="str">
            <v>R</v>
          </cell>
          <cell r="U287" t="str">
            <v>R</v>
          </cell>
          <cell r="V287" t="str">
            <v>R</v>
          </cell>
          <cell r="W287" t="str">
            <v/>
          </cell>
          <cell r="Y287">
            <v>1</v>
          </cell>
        </row>
        <row r="288">
          <cell r="A288" t="str">
            <v>4</v>
          </cell>
          <cell r="B288" t="str">
            <v>07</v>
          </cell>
          <cell r="C288" t="str">
            <v>01</v>
          </cell>
          <cell r="E288" t="str">
            <v>4.07.01  Refine and Implement Control Plan</v>
          </cell>
          <cell r="F288" t="str">
            <v/>
          </cell>
          <cell r="G288" t="str">
            <v/>
          </cell>
          <cell r="H288" t="str">
            <v/>
          </cell>
          <cell r="I288" t="str">
            <v/>
          </cell>
          <cell r="J288" t="str">
            <v>L</v>
          </cell>
          <cell r="K288" t="str">
            <v/>
          </cell>
          <cell r="L288" t="str">
            <v/>
          </cell>
          <cell r="M288" t="str">
            <v/>
          </cell>
          <cell r="N288" t="str">
            <v/>
          </cell>
          <cell r="O288" t="str">
            <v/>
          </cell>
          <cell r="P288" t="str">
            <v>R</v>
          </cell>
          <cell r="Q288" t="str">
            <v>R</v>
          </cell>
          <cell r="R288" t="str">
            <v>R</v>
          </cell>
          <cell r="S288" t="str">
            <v/>
          </cell>
          <cell r="T288" t="str">
            <v>R</v>
          </cell>
          <cell r="U288" t="str">
            <v>R</v>
          </cell>
          <cell r="V288" t="str">
            <v>R</v>
          </cell>
          <cell r="W288" t="str">
            <v/>
          </cell>
          <cell r="X288">
            <v>100</v>
          </cell>
        </row>
        <row r="289">
          <cell r="A289" t="str">
            <v>4</v>
          </cell>
          <cell r="B289" t="str">
            <v>08</v>
          </cell>
          <cell r="C289" t="str">
            <v/>
          </cell>
          <cell r="E289" t="str">
            <v>4.08 Production Ramp-Up Plan</v>
          </cell>
          <cell r="F289" t="str">
            <v/>
          </cell>
          <cell r="G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  <cell r="N289" t="str">
            <v/>
          </cell>
          <cell r="O289" t="str">
            <v/>
          </cell>
          <cell r="P289" t="str">
            <v/>
          </cell>
          <cell r="Q289" t="str">
            <v/>
          </cell>
          <cell r="R289" t="str">
            <v/>
          </cell>
          <cell r="S289" t="str">
            <v/>
          </cell>
          <cell r="T289" t="str">
            <v>R</v>
          </cell>
          <cell r="U289" t="str">
            <v>R</v>
          </cell>
          <cell r="V289" t="str">
            <v>R</v>
          </cell>
          <cell r="W289" t="str">
            <v>R</v>
          </cell>
          <cell r="Y289">
            <v>0.8</v>
          </cell>
        </row>
        <row r="290">
          <cell r="A290" t="str">
            <v>4</v>
          </cell>
          <cell r="B290" t="str">
            <v>08</v>
          </cell>
          <cell r="C290" t="str">
            <v>01</v>
          </cell>
          <cell r="E290" t="str">
            <v>4.08.01  Obtain Customer Ramp-up Schedule</v>
          </cell>
          <cell r="F290" t="str">
            <v/>
          </cell>
          <cell r="G290" t="str">
            <v/>
          </cell>
          <cell r="H290" t="str">
            <v/>
          </cell>
          <cell r="I290" t="str">
            <v>L</v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  <cell r="N290" t="str">
            <v/>
          </cell>
          <cell r="O290" t="str">
            <v/>
          </cell>
          <cell r="P290" t="str">
            <v/>
          </cell>
          <cell r="Q290" t="str">
            <v/>
          </cell>
          <cell r="R290" t="str">
            <v/>
          </cell>
          <cell r="S290" t="str">
            <v/>
          </cell>
          <cell r="T290" t="str">
            <v>R</v>
          </cell>
          <cell r="U290" t="str">
            <v/>
          </cell>
          <cell r="V290" t="str">
            <v/>
          </cell>
          <cell r="W290" t="str">
            <v/>
          </cell>
          <cell r="X290">
            <v>100</v>
          </cell>
        </row>
        <row r="291">
          <cell r="A291" t="str">
            <v>4</v>
          </cell>
          <cell r="B291" t="str">
            <v>08</v>
          </cell>
          <cell r="C291" t="str">
            <v>02</v>
          </cell>
          <cell r="E291" t="str">
            <v>4.08.02  Obtain Service Fill Requirements</v>
          </cell>
          <cell r="F291" t="str">
            <v/>
          </cell>
          <cell r="G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>L</v>
          </cell>
          <cell r="M291" t="str">
            <v/>
          </cell>
          <cell r="N291" t="str">
            <v/>
          </cell>
          <cell r="O291" t="str">
            <v/>
          </cell>
          <cell r="P291" t="str">
            <v/>
          </cell>
          <cell r="Q291" t="str">
            <v/>
          </cell>
          <cell r="R291" t="str">
            <v/>
          </cell>
          <cell r="S291" t="str">
            <v/>
          </cell>
          <cell r="T291" t="str">
            <v>R</v>
          </cell>
          <cell r="U291" t="str">
            <v/>
          </cell>
          <cell r="V291" t="str">
            <v/>
          </cell>
          <cell r="W291" t="str">
            <v/>
          </cell>
          <cell r="X291">
            <v>100</v>
          </cell>
        </row>
        <row r="292">
          <cell r="A292" t="str">
            <v>4</v>
          </cell>
          <cell r="B292" t="str">
            <v>08</v>
          </cell>
          <cell r="C292" t="str">
            <v>03</v>
          </cell>
          <cell r="E292" t="str">
            <v>4.08.03  Develop Ramp-Up Plan</v>
          </cell>
          <cell r="F292" t="str">
            <v/>
          </cell>
          <cell r="G292" t="str">
            <v/>
          </cell>
          <cell r="H292" t="str">
            <v/>
          </cell>
          <cell r="I292" t="str">
            <v>L</v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  <cell r="N292" t="str">
            <v/>
          </cell>
          <cell r="O292" t="str">
            <v/>
          </cell>
          <cell r="P292" t="str">
            <v/>
          </cell>
          <cell r="Q292" t="str">
            <v/>
          </cell>
          <cell r="R292" t="str">
            <v/>
          </cell>
          <cell r="S292" t="str">
            <v/>
          </cell>
          <cell r="T292" t="str">
            <v>R</v>
          </cell>
          <cell r="U292" t="str">
            <v>R</v>
          </cell>
          <cell r="V292" t="str">
            <v>R</v>
          </cell>
          <cell r="W292" t="str">
            <v>R</v>
          </cell>
          <cell r="X292">
            <v>60</v>
          </cell>
        </row>
        <row r="293">
          <cell r="A293" t="str">
            <v>4</v>
          </cell>
          <cell r="B293" t="str">
            <v>08</v>
          </cell>
          <cell r="C293" t="str">
            <v>04</v>
          </cell>
          <cell r="E293" t="str">
            <v xml:space="preserve">4.08.04  Establish Supplier Releases </v>
          </cell>
          <cell r="F293" t="str">
            <v/>
          </cell>
          <cell r="G293" t="str">
            <v/>
          </cell>
          <cell r="H293" t="str">
            <v/>
          </cell>
          <cell r="I293" t="str">
            <v>L</v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  <cell r="N293" t="str">
            <v/>
          </cell>
          <cell r="O293" t="str">
            <v/>
          </cell>
          <cell r="P293" t="str">
            <v/>
          </cell>
          <cell r="Q293" t="str">
            <v/>
          </cell>
          <cell r="R293" t="str">
            <v/>
          </cell>
          <cell r="S293" t="str">
            <v/>
          </cell>
          <cell r="T293" t="str">
            <v>R</v>
          </cell>
          <cell r="U293" t="str">
            <v>R</v>
          </cell>
          <cell r="V293" t="str">
            <v>R</v>
          </cell>
          <cell r="W293" t="str">
            <v>R</v>
          </cell>
          <cell r="X293">
            <v>90</v>
          </cell>
        </row>
        <row r="294">
          <cell r="A294" t="str">
            <v>4</v>
          </cell>
          <cell r="B294" t="str">
            <v>08</v>
          </cell>
          <cell r="C294" t="str">
            <v>05</v>
          </cell>
          <cell r="E294" t="str">
            <v>4.08.05  Implement Production Ramp-Up Plan</v>
          </cell>
          <cell r="F294" t="str">
            <v/>
          </cell>
          <cell r="G294" t="str">
            <v/>
          </cell>
          <cell r="H294" t="str">
            <v/>
          </cell>
          <cell r="I294" t="str">
            <v>L</v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  <cell r="N294" t="str">
            <v/>
          </cell>
          <cell r="O294" t="str">
            <v/>
          </cell>
          <cell r="P294" t="str">
            <v/>
          </cell>
          <cell r="Q294" t="str">
            <v/>
          </cell>
          <cell r="R294" t="str">
            <v/>
          </cell>
          <cell r="S294" t="str">
            <v/>
          </cell>
          <cell r="T294" t="str">
            <v>R</v>
          </cell>
          <cell r="U294" t="str">
            <v/>
          </cell>
          <cell r="V294" t="str">
            <v/>
          </cell>
          <cell r="W294" t="str">
            <v/>
          </cell>
          <cell r="X294">
            <v>50</v>
          </cell>
        </row>
        <row r="295">
          <cell r="A295" t="str">
            <v>4</v>
          </cell>
          <cell r="B295" t="str">
            <v>09</v>
          </cell>
          <cell r="C295" t="str">
            <v/>
          </cell>
          <cell r="E295" t="str">
            <v>4.09 Production Ramp-Up</v>
          </cell>
          <cell r="F295" t="str">
            <v/>
          </cell>
          <cell r="G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  <cell r="N295" t="str">
            <v/>
          </cell>
          <cell r="O295" t="str">
            <v/>
          </cell>
          <cell r="P295" t="str">
            <v/>
          </cell>
          <cell r="Q295" t="str">
            <v/>
          </cell>
          <cell r="R295" t="str">
            <v/>
          </cell>
          <cell r="S295" t="str">
            <v/>
          </cell>
          <cell r="T295" t="str">
            <v>R</v>
          </cell>
          <cell r="U295" t="str">
            <v/>
          </cell>
          <cell r="V295" t="str">
            <v/>
          </cell>
          <cell r="W295" t="str">
            <v/>
          </cell>
          <cell r="Y295">
            <v>0.55000000000000004</v>
          </cell>
        </row>
        <row r="296">
          <cell r="A296" t="str">
            <v>4</v>
          </cell>
          <cell r="B296" t="str">
            <v>09</v>
          </cell>
          <cell r="C296" t="str">
            <v>01</v>
          </cell>
          <cell r="E296" t="str">
            <v>4.09.01  Update Manufacturing Training Program</v>
          </cell>
          <cell r="F296" t="str">
            <v/>
          </cell>
          <cell r="G296" t="str">
            <v/>
          </cell>
          <cell r="H296" t="str">
            <v/>
          </cell>
          <cell r="I296" t="str">
            <v>L</v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  <cell r="N296" t="str">
            <v/>
          </cell>
          <cell r="O296" t="str">
            <v/>
          </cell>
          <cell r="P296" t="str">
            <v/>
          </cell>
          <cell r="Q296" t="str">
            <v/>
          </cell>
          <cell r="R296" t="str">
            <v/>
          </cell>
          <cell r="S296" t="str">
            <v/>
          </cell>
          <cell r="T296" t="str">
            <v>R</v>
          </cell>
          <cell r="U296" t="str">
            <v>R</v>
          </cell>
          <cell r="V296" t="str">
            <v>R</v>
          </cell>
          <cell r="W296" t="str">
            <v>R</v>
          </cell>
          <cell r="X296">
            <v>40</v>
          </cell>
        </row>
        <row r="297">
          <cell r="A297" t="str">
            <v>4</v>
          </cell>
          <cell r="B297" t="str">
            <v>09</v>
          </cell>
          <cell r="C297" t="str">
            <v>02</v>
          </cell>
          <cell r="E297" t="str">
            <v>4.09.02  Implement Approved Changes</v>
          </cell>
          <cell r="F297" t="str">
            <v/>
          </cell>
          <cell r="G297" t="str">
            <v>L</v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  <cell r="N297" t="str">
            <v/>
          </cell>
          <cell r="O297" t="str">
            <v/>
          </cell>
          <cell r="P297" t="str">
            <v/>
          </cell>
          <cell r="Q297" t="str">
            <v/>
          </cell>
          <cell r="R297" t="str">
            <v/>
          </cell>
          <cell r="S297" t="str">
            <v/>
          </cell>
          <cell r="T297" t="str">
            <v>R</v>
          </cell>
          <cell r="U297" t="str">
            <v>R</v>
          </cell>
          <cell r="V297" t="str">
            <v>R</v>
          </cell>
          <cell r="W297" t="str">
            <v>R</v>
          </cell>
          <cell r="X297">
            <v>70</v>
          </cell>
        </row>
        <row r="298">
          <cell r="A298" t="str">
            <v>4</v>
          </cell>
          <cell r="B298" t="str">
            <v>10</v>
          </cell>
          <cell r="C298" t="str">
            <v/>
          </cell>
          <cell r="E298" t="str">
            <v>4.10 Quality Planning Sign-Off and Management Support (APQP 4.8)</v>
          </cell>
          <cell r="F298" t="str">
            <v/>
          </cell>
          <cell r="G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  <cell r="N298" t="str">
            <v/>
          </cell>
          <cell r="O298" t="str">
            <v/>
          </cell>
          <cell r="P298" t="str">
            <v>R</v>
          </cell>
          <cell r="Q298" t="str">
            <v>R</v>
          </cell>
          <cell r="R298" t="str">
            <v/>
          </cell>
          <cell r="S298" t="str">
            <v/>
          </cell>
          <cell r="T298" t="str">
            <v>R</v>
          </cell>
          <cell r="U298" t="str">
            <v>R</v>
          </cell>
          <cell r="V298" t="str">
            <v>R</v>
          </cell>
          <cell r="W298" t="str">
            <v>R</v>
          </cell>
          <cell r="Y298">
            <v>0.56571428571428573</v>
          </cell>
        </row>
        <row r="299">
          <cell r="A299" t="str">
            <v>4</v>
          </cell>
          <cell r="B299" t="str">
            <v>10</v>
          </cell>
          <cell r="C299" t="str">
            <v>01</v>
          </cell>
          <cell r="E299" t="str">
            <v>4.10.01  Complete Design Specifications, DFMEA, &amp; BOM Changes</v>
          </cell>
          <cell r="F299" t="str">
            <v/>
          </cell>
          <cell r="G299" t="str">
            <v/>
          </cell>
          <cell r="H299" t="str">
            <v>L</v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  <cell r="N299" t="str">
            <v/>
          </cell>
          <cell r="O299" t="str">
            <v/>
          </cell>
          <cell r="P299" t="str">
            <v/>
          </cell>
          <cell r="Q299" t="str">
            <v/>
          </cell>
          <cell r="R299" t="str">
            <v/>
          </cell>
          <cell r="S299" t="str">
            <v/>
          </cell>
          <cell r="T299" t="str">
            <v>R</v>
          </cell>
          <cell r="U299" t="str">
            <v>R</v>
          </cell>
          <cell r="V299" t="str">
            <v>R</v>
          </cell>
          <cell r="W299" t="str">
            <v>R</v>
          </cell>
          <cell r="X299">
            <v>90</v>
          </cell>
        </row>
        <row r="300">
          <cell r="A300" t="str">
            <v>4</v>
          </cell>
          <cell r="B300" t="str">
            <v>10</v>
          </cell>
          <cell r="C300" t="str">
            <v>02</v>
          </cell>
          <cell r="E300" t="str">
            <v>4.10.02  Complete Process Routings, PFMEA &amp; Control Plan Changes</v>
          </cell>
          <cell r="F300" t="str">
            <v/>
          </cell>
          <cell r="G300" t="str">
            <v/>
          </cell>
          <cell r="H300" t="str">
            <v/>
          </cell>
          <cell r="I300" t="str">
            <v>L</v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  <cell r="N300" t="str">
            <v/>
          </cell>
          <cell r="O300" t="str">
            <v/>
          </cell>
          <cell r="P300" t="str">
            <v/>
          </cell>
          <cell r="Q300" t="str">
            <v/>
          </cell>
          <cell r="R300" t="str">
            <v/>
          </cell>
          <cell r="S300" t="str">
            <v/>
          </cell>
          <cell r="T300" t="str">
            <v>R</v>
          </cell>
          <cell r="U300" t="str">
            <v>R</v>
          </cell>
          <cell r="V300" t="str">
            <v>R</v>
          </cell>
          <cell r="W300" t="str">
            <v>R</v>
          </cell>
          <cell r="X300">
            <v>50</v>
          </cell>
        </row>
        <row r="301">
          <cell r="A301" t="str">
            <v>4</v>
          </cell>
          <cell r="B301" t="str">
            <v>10</v>
          </cell>
          <cell r="C301" t="str">
            <v>03</v>
          </cell>
          <cell r="E301" t="str">
            <v>4.10.03  Achieve Volume Production</v>
          </cell>
          <cell r="F301" t="str">
            <v/>
          </cell>
          <cell r="G301" t="str">
            <v/>
          </cell>
          <cell r="H301" t="str">
            <v/>
          </cell>
          <cell r="I301" t="str">
            <v>L</v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  <cell r="N301" t="str">
            <v/>
          </cell>
          <cell r="O301" t="str">
            <v/>
          </cell>
          <cell r="P301" t="str">
            <v/>
          </cell>
          <cell r="Q301" t="str">
            <v/>
          </cell>
          <cell r="R301" t="str">
            <v/>
          </cell>
          <cell r="S301" t="str">
            <v/>
          </cell>
          <cell r="T301" t="str">
            <v>R</v>
          </cell>
          <cell r="U301" t="str">
            <v/>
          </cell>
          <cell r="V301" t="str">
            <v/>
          </cell>
          <cell r="W301" t="str">
            <v/>
          </cell>
          <cell r="X301">
            <v>66</v>
          </cell>
        </row>
        <row r="302">
          <cell r="A302" t="str">
            <v>4</v>
          </cell>
          <cell r="B302" t="str">
            <v>10</v>
          </cell>
          <cell r="C302" t="str">
            <v>04</v>
          </cell>
          <cell r="E302" t="str">
            <v>4.10.04 Close-out Customer Business Issues</v>
          </cell>
          <cell r="F302" t="str">
            <v/>
          </cell>
          <cell r="G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>L</v>
          </cell>
          <cell r="M302" t="str">
            <v/>
          </cell>
          <cell r="N302" t="str">
            <v/>
          </cell>
          <cell r="O302" t="str">
            <v/>
          </cell>
          <cell r="P302" t="str">
            <v/>
          </cell>
          <cell r="Q302" t="str">
            <v/>
          </cell>
          <cell r="R302" t="str">
            <v/>
          </cell>
          <cell r="S302" t="str">
            <v/>
          </cell>
          <cell r="T302" t="str">
            <v>R</v>
          </cell>
          <cell r="U302" t="str">
            <v>R</v>
          </cell>
          <cell r="V302" t="str">
            <v>R</v>
          </cell>
          <cell r="W302" t="str">
            <v>R</v>
          </cell>
          <cell r="X302">
            <v>80</v>
          </cell>
        </row>
        <row r="303">
          <cell r="A303" t="str">
            <v>4</v>
          </cell>
          <cell r="B303" t="str">
            <v>10</v>
          </cell>
          <cell r="C303" t="str">
            <v>05</v>
          </cell>
          <cell r="E303" t="str">
            <v>4.10.05  Update Project Measurables</v>
          </cell>
          <cell r="F303" t="str">
            <v/>
          </cell>
          <cell r="G303" t="str">
            <v>L</v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  <cell r="N303" t="str">
            <v/>
          </cell>
          <cell r="O303" t="str">
            <v/>
          </cell>
          <cell r="P303" t="str">
            <v/>
          </cell>
          <cell r="Q303" t="str">
            <v/>
          </cell>
          <cell r="R303" t="str">
            <v/>
          </cell>
          <cell r="S303" t="str">
            <v/>
          </cell>
          <cell r="T303" t="str">
            <v>R</v>
          </cell>
          <cell r="U303" t="str">
            <v/>
          </cell>
          <cell r="V303" t="str">
            <v/>
          </cell>
          <cell r="W303" t="str">
            <v/>
          </cell>
          <cell r="X303">
            <v>40</v>
          </cell>
        </row>
        <row r="304">
          <cell r="A304" t="str">
            <v>4</v>
          </cell>
          <cell r="B304" t="str">
            <v>10</v>
          </cell>
          <cell r="C304" t="str">
            <v>06</v>
          </cell>
          <cell r="E304" t="str">
            <v>4.10.06  Update Project Documentation</v>
          </cell>
          <cell r="F304" t="str">
            <v/>
          </cell>
          <cell r="G304" t="str">
            <v>L</v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  <cell r="N304" t="str">
            <v/>
          </cell>
          <cell r="O304" t="str">
            <v/>
          </cell>
          <cell r="P304" t="str">
            <v>R</v>
          </cell>
          <cell r="Q304" t="str">
            <v>R</v>
          </cell>
          <cell r="R304" t="str">
            <v/>
          </cell>
          <cell r="S304" t="str">
            <v/>
          </cell>
          <cell r="T304" t="str">
            <v>R</v>
          </cell>
          <cell r="U304" t="str">
            <v>R</v>
          </cell>
          <cell r="V304" t="str">
            <v>R</v>
          </cell>
          <cell r="W304" t="str">
            <v>R</v>
          </cell>
          <cell r="X304">
            <v>40</v>
          </cell>
        </row>
        <row r="305">
          <cell r="A305" t="str">
            <v>4</v>
          </cell>
          <cell r="B305" t="str">
            <v>10</v>
          </cell>
          <cell r="C305" t="str">
            <v>07</v>
          </cell>
          <cell r="E305" t="str">
            <v>4.10.07  Conduct Phase 4 Gate Review</v>
          </cell>
          <cell r="F305" t="str">
            <v/>
          </cell>
          <cell r="G305" t="str">
            <v>L</v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  <cell r="N305" t="str">
            <v/>
          </cell>
          <cell r="O305" t="str">
            <v/>
          </cell>
          <cell r="P305" t="str">
            <v>R</v>
          </cell>
          <cell r="Q305" t="str">
            <v>R</v>
          </cell>
          <cell r="R305" t="str">
            <v/>
          </cell>
          <cell r="S305" t="str">
            <v/>
          </cell>
          <cell r="T305" t="str">
            <v>R</v>
          </cell>
          <cell r="U305" t="str">
            <v>R</v>
          </cell>
          <cell r="V305" t="str">
            <v>R</v>
          </cell>
          <cell r="W305" t="str">
            <v>R</v>
          </cell>
          <cell r="X305">
            <v>30</v>
          </cell>
        </row>
        <row r="306">
          <cell r="A306" t="str">
            <v/>
          </cell>
          <cell r="B306" t="str">
            <v/>
          </cell>
          <cell r="C306" t="str">
            <v/>
          </cell>
          <cell r="E306" t="str">
            <v/>
          </cell>
          <cell r="P306" t="str">
            <v/>
          </cell>
          <cell r="Q306" t="str">
            <v/>
          </cell>
          <cell r="R306" t="str">
            <v/>
          </cell>
          <cell r="S306" t="str">
            <v/>
          </cell>
          <cell r="T306" t="str">
            <v/>
          </cell>
          <cell r="U306" t="str">
            <v/>
          </cell>
          <cell r="V306" t="str">
            <v/>
          </cell>
          <cell r="W306" t="str">
            <v/>
          </cell>
        </row>
        <row r="307">
          <cell r="A307">
            <v>5</v>
          </cell>
          <cell r="B307" t="str">
            <v>tete</v>
          </cell>
          <cell r="C307" t="str">
            <v/>
          </cell>
          <cell r="E307" t="str">
            <v>PHASE 5:  FEEDBACK, ASSESSMENT AND CORRECTIVE ACTION</v>
          </cell>
          <cell r="G307">
            <v>0.23749999999999999</v>
          </cell>
          <cell r="H307">
            <v>0</v>
          </cell>
          <cell r="I307">
            <v>0</v>
          </cell>
          <cell r="J307">
            <v>0</v>
          </cell>
          <cell r="K307">
            <v>0.2</v>
          </cell>
          <cell r="L307">
            <v>0.25</v>
          </cell>
          <cell r="P307" t="str">
            <v/>
          </cell>
          <cell r="Q307" t="str">
            <v/>
          </cell>
          <cell r="R307" t="str">
            <v/>
          </cell>
          <cell r="S307" t="str">
            <v/>
          </cell>
          <cell r="T307" t="str">
            <v>R</v>
          </cell>
          <cell r="U307" t="str">
            <v>R</v>
          </cell>
          <cell r="V307" t="str">
            <v>R</v>
          </cell>
          <cell r="W307" t="str">
            <v>R</v>
          </cell>
          <cell r="Y307">
            <v>0.12083333333333332</v>
          </cell>
        </row>
        <row r="308">
          <cell r="A308" t="str">
            <v>5</v>
          </cell>
          <cell r="B308" t="str">
            <v>00</v>
          </cell>
          <cell r="C308" t="str">
            <v/>
          </cell>
          <cell r="E308" t="str">
            <v>5.00 Reduce Variation (APQP 5.1)</v>
          </cell>
          <cell r="F308" t="str">
            <v/>
          </cell>
          <cell r="G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  <cell r="N308" t="str">
            <v/>
          </cell>
          <cell r="O308" t="str">
            <v/>
          </cell>
          <cell r="P308" t="str">
            <v/>
          </cell>
          <cell r="Q308" t="str">
            <v/>
          </cell>
          <cell r="R308" t="str">
            <v/>
          </cell>
          <cell r="S308" t="str">
            <v/>
          </cell>
          <cell r="T308" t="str">
            <v>R</v>
          </cell>
          <cell r="U308" t="str">
            <v/>
          </cell>
          <cell r="V308" t="str">
            <v/>
          </cell>
          <cell r="W308" t="str">
            <v/>
          </cell>
          <cell r="Y308">
            <v>0</v>
          </cell>
        </row>
        <row r="309">
          <cell r="A309" t="str">
            <v>5</v>
          </cell>
          <cell r="B309" t="str">
            <v>00</v>
          </cell>
          <cell r="C309" t="str">
            <v>01</v>
          </cell>
          <cell r="E309" t="str">
            <v>5.00.01 Investigate Variation Reduction Opportunities</v>
          </cell>
          <cell r="F309" t="str">
            <v/>
          </cell>
          <cell r="G309" t="str">
            <v/>
          </cell>
          <cell r="H309" t="str">
            <v/>
          </cell>
          <cell r="I309" t="str">
            <v/>
          </cell>
          <cell r="J309" t="str">
            <v>L</v>
          </cell>
          <cell r="K309" t="str">
            <v/>
          </cell>
          <cell r="L309" t="str">
            <v/>
          </cell>
          <cell r="M309" t="str">
            <v/>
          </cell>
          <cell r="N309" t="str">
            <v/>
          </cell>
          <cell r="O309" t="str">
            <v/>
          </cell>
          <cell r="P309" t="str">
            <v/>
          </cell>
          <cell r="Q309" t="str">
            <v/>
          </cell>
          <cell r="R309" t="str">
            <v/>
          </cell>
          <cell r="S309" t="str">
            <v/>
          </cell>
          <cell r="T309" t="str">
            <v>R</v>
          </cell>
          <cell r="U309" t="str">
            <v/>
          </cell>
          <cell r="V309" t="str">
            <v/>
          </cell>
          <cell r="W309" t="str">
            <v/>
          </cell>
        </row>
        <row r="310">
          <cell r="A310" t="str">
            <v>5</v>
          </cell>
          <cell r="B310" t="str">
            <v>01</v>
          </cell>
          <cell r="C310" t="str">
            <v/>
          </cell>
          <cell r="E310" t="str">
            <v>5.01 Customer Satisfaction (APQP 5.2)</v>
          </cell>
          <cell r="F310" t="str">
            <v/>
          </cell>
          <cell r="G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  <cell r="N310" t="str">
            <v/>
          </cell>
          <cell r="O310" t="str">
            <v/>
          </cell>
          <cell r="P310" t="str">
            <v/>
          </cell>
          <cell r="Q310" t="str">
            <v/>
          </cell>
          <cell r="R310" t="str">
            <v/>
          </cell>
          <cell r="S310" t="str">
            <v/>
          </cell>
          <cell r="T310" t="str">
            <v>R</v>
          </cell>
          <cell r="U310" t="str">
            <v/>
          </cell>
          <cell r="V310" t="str">
            <v/>
          </cell>
          <cell r="W310" t="str">
            <v/>
          </cell>
          <cell r="Y310">
            <v>0</v>
          </cell>
        </row>
        <row r="311">
          <cell r="A311" t="str">
            <v>5</v>
          </cell>
          <cell r="B311" t="str">
            <v>01</v>
          </cell>
          <cell r="C311" t="str">
            <v>01</v>
          </cell>
          <cell r="E311" t="str">
            <v>5.01.01  Obtain Customer Feedback</v>
          </cell>
          <cell r="F311" t="str">
            <v/>
          </cell>
          <cell r="G311" t="str">
            <v/>
          </cell>
          <cell r="H311" t="str">
            <v/>
          </cell>
          <cell r="I311" t="str">
            <v>L</v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  <cell r="N311" t="str">
            <v/>
          </cell>
          <cell r="O311" t="str">
            <v/>
          </cell>
          <cell r="P311" t="str">
            <v/>
          </cell>
          <cell r="Q311" t="str">
            <v/>
          </cell>
          <cell r="R311" t="str">
            <v/>
          </cell>
          <cell r="S311" t="str">
            <v/>
          </cell>
          <cell r="T311" t="str">
            <v>R</v>
          </cell>
          <cell r="U311" t="str">
            <v>R</v>
          </cell>
          <cell r="V311" t="str">
            <v>R</v>
          </cell>
          <cell r="W311" t="str">
            <v>R</v>
          </cell>
        </row>
        <row r="312">
          <cell r="A312" t="str">
            <v>5</v>
          </cell>
          <cell r="B312" t="str">
            <v>02</v>
          </cell>
          <cell r="C312" t="str">
            <v/>
          </cell>
          <cell r="E312" t="str">
            <v>5.02 Delivery and Service (APQP 5.3)</v>
          </cell>
          <cell r="F312" t="str">
            <v/>
          </cell>
          <cell r="G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  <cell r="N312" t="str">
            <v/>
          </cell>
          <cell r="O312" t="str">
            <v/>
          </cell>
          <cell r="P312" t="str">
            <v/>
          </cell>
          <cell r="Q312" t="str">
            <v/>
          </cell>
          <cell r="R312" t="str">
            <v/>
          </cell>
          <cell r="S312" t="str">
            <v/>
          </cell>
          <cell r="T312" t="str">
            <v>R</v>
          </cell>
          <cell r="U312" t="str">
            <v/>
          </cell>
          <cell r="V312" t="str">
            <v/>
          </cell>
          <cell r="W312" t="str">
            <v/>
          </cell>
          <cell r="Y312">
            <v>0.2</v>
          </cell>
        </row>
        <row r="313">
          <cell r="A313" t="str">
            <v>5</v>
          </cell>
          <cell r="B313" t="str">
            <v>02</v>
          </cell>
          <cell r="C313" t="str">
            <v>01</v>
          </cell>
          <cell r="E313" t="str">
            <v>5.02.01  Evaluate Customer Measurables</v>
          </cell>
          <cell r="F313" t="str">
            <v/>
          </cell>
          <cell r="G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>L</v>
          </cell>
          <cell r="M313" t="str">
            <v/>
          </cell>
          <cell r="N313" t="str">
            <v/>
          </cell>
          <cell r="O313" t="str">
            <v/>
          </cell>
          <cell r="P313" t="str">
            <v/>
          </cell>
          <cell r="Q313" t="str">
            <v/>
          </cell>
          <cell r="R313" t="str">
            <v/>
          </cell>
          <cell r="S313" t="str">
            <v/>
          </cell>
          <cell r="T313" t="str">
            <v>R</v>
          </cell>
          <cell r="U313" t="str">
            <v>R</v>
          </cell>
          <cell r="V313" t="str">
            <v>R</v>
          </cell>
          <cell r="W313" t="str">
            <v>R</v>
          </cell>
          <cell r="X313">
            <v>20</v>
          </cell>
        </row>
        <row r="314">
          <cell r="A314" t="str">
            <v>5</v>
          </cell>
          <cell r="B314" t="str">
            <v>03</v>
          </cell>
          <cell r="C314" t="str">
            <v/>
          </cell>
          <cell r="E314" t="str">
            <v>5.03 Lessons Learned Reviews</v>
          </cell>
          <cell r="F314" t="str">
            <v/>
          </cell>
          <cell r="G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  <cell r="N314" t="str">
            <v/>
          </cell>
          <cell r="O314" t="str">
            <v/>
          </cell>
          <cell r="P314" t="str">
            <v/>
          </cell>
          <cell r="Q314" t="str">
            <v/>
          </cell>
          <cell r="R314" t="str">
            <v/>
          </cell>
          <cell r="S314" t="str">
            <v/>
          </cell>
          <cell r="T314" t="str">
            <v>R</v>
          </cell>
          <cell r="U314" t="str">
            <v>R</v>
          </cell>
          <cell r="V314" t="str">
            <v>R</v>
          </cell>
          <cell r="W314" t="str">
            <v>R</v>
          </cell>
          <cell r="Y314">
            <v>0.26666666666666666</v>
          </cell>
        </row>
        <row r="315">
          <cell r="A315" t="str">
            <v>5</v>
          </cell>
          <cell r="B315" t="str">
            <v>03</v>
          </cell>
          <cell r="C315" t="str">
            <v>01</v>
          </cell>
          <cell r="E315" t="str">
            <v xml:space="preserve">5.03.01  Conduct Supplier Lessons Learned Review  </v>
          </cell>
          <cell r="F315" t="str">
            <v/>
          </cell>
          <cell r="G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>L</v>
          </cell>
          <cell r="L315" t="str">
            <v/>
          </cell>
          <cell r="M315" t="str">
            <v/>
          </cell>
          <cell r="N315" t="str">
            <v/>
          </cell>
          <cell r="O315" t="str">
            <v/>
          </cell>
          <cell r="P315" t="str">
            <v/>
          </cell>
          <cell r="Q315" t="str">
            <v/>
          </cell>
          <cell r="R315" t="str">
            <v/>
          </cell>
          <cell r="S315" t="str">
            <v/>
          </cell>
          <cell r="T315" t="str">
            <v>R</v>
          </cell>
          <cell r="U315" t="str">
            <v/>
          </cell>
          <cell r="V315" t="str">
            <v/>
          </cell>
          <cell r="W315" t="str">
            <v/>
          </cell>
          <cell r="X315">
            <v>20</v>
          </cell>
        </row>
        <row r="316">
          <cell r="A316" t="str">
            <v>5</v>
          </cell>
          <cell r="B316" t="str">
            <v>03</v>
          </cell>
          <cell r="C316" t="str">
            <v>02</v>
          </cell>
          <cell r="E316" t="str">
            <v>5.03.02  Conduct Customer Lessons Learned Review</v>
          </cell>
          <cell r="F316" t="str">
            <v/>
          </cell>
          <cell r="G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>L</v>
          </cell>
          <cell r="M316" t="str">
            <v/>
          </cell>
          <cell r="N316" t="str">
            <v/>
          </cell>
          <cell r="O316" t="str">
            <v/>
          </cell>
          <cell r="P316" t="str">
            <v/>
          </cell>
          <cell r="Q316" t="str">
            <v/>
          </cell>
          <cell r="R316" t="str">
            <v/>
          </cell>
          <cell r="S316" t="str">
            <v/>
          </cell>
          <cell r="T316" t="str">
            <v>R</v>
          </cell>
          <cell r="U316" t="str">
            <v/>
          </cell>
          <cell r="V316" t="str">
            <v/>
          </cell>
          <cell r="W316" t="str">
            <v/>
          </cell>
          <cell r="X316">
            <v>30</v>
          </cell>
        </row>
        <row r="317">
          <cell r="A317" t="str">
            <v>5</v>
          </cell>
          <cell r="B317" t="str">
            <v>03</v>
          </cell>
          <cell r="C317" t="str">
            <v>03</v>
          </cell>
          <cell r="E317" t="str">
            <v>5.03.03  Conduct Internal Team Lessons Learned Review</v>
          </cell>
          <cell r="F317" t="str">
            <v/>
          </cell>
          <cell r="G317" t="str">
            <v>L</v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  <cell r="N317" t="str">
            <v/>
          </cell>
          <cell r="O317" t="str">
            <v/>
          </cell>
          <cell r="P317" t="str">
            <v/>
          </cell>
          <cell r="Q317" t="str">
            <v/>
          </cell>
          <cell r="R317" t="str">
            <v/>
          </cell>
          <cell r="S317" t="str">
            <v/>
          </cell>
          <cell r="T317" t="str">
            <v>R</v>
          </cell>
          <cell r="U317" t="str">
            <v/>
          </cell>
          <cell r="V317" t="str">
            <v/>
          </cell>
          <cell r="W317" t="str">
            <v/>
          </cell>
          <cell r="X317">
            <v>30</v>
          </cell>
        </row>
        <row r="318">
          <cell r="A318" t="str">
            <v>5</v>
          </cell>
          <cell r="B318" t="str">
            <v>04</v>
          </cell>
          <cell r="C318" t="str">
            <v/>
          </cell>
          <cell r="E318" t="str">
            <v>5.04 Engineering Best Practice and Baseline Updates</v>
          </cell>
          <cell r="F318" t="str">
            <v/>
          </cell>
          <cell r="G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  <cell r="N318" t="str">
            <v/>
          </cell>
          <cell r="O318" t="str">
            <v/>
          </cell>
          <cell r="P318" t="str">
            <v/>
          </cell>
          <cell r="Q318" t="str">
            <v/>
          </cell>
          <cell r="R318" t="str">
            <v/>
          </cell>
          <cell r="S318" t="str">
            <v/>
          </cell>
          <cell r="T318" t="str">
            <v>R</v>
          </cell>
          <cell r="U318" t="str">
            <v>R</v>
          </cell>
          <cell r="V318" t="str">
            <v>R</v>
          </cell>
          <cell r="W318" t="str">
            <v>R</v>
          </cell>
          <cell r="Y318">
            <v>0</v>
          </cell>
        </row>
        <row r="319">
          <cell r="A319" t="str">
            <v>5</v>
          </cell>
          <cell r="B319" t="str">
            <v>04</v>
          </cell>
          <cell r="C319" t="str">
            <v>01</v>
          </cell>
          <cell r="E319" t="str">
            <v>5.04.01  Update Engineering Best Practices</v>
          </cell>
          <cell r="F319" t="str">
            <v/>
          </cell>
          <cell r="G319" t="str">
            <v/>
          </cell>
          <cell r="H319" t="str">
            <v>L</v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  <cell r="N319" t="str">
            <v/>
          </cell>
          <cell r="O319" t="str">
            <v/>
          </cell>
          <cell r="P319" t="str">
            <v/>
          </cell>
          <cell r="Q319" t="str">
            <v/>
          </cell>
          <cell r="R319" t="str">
            <v/>
          </cell>
          <cell r="S319" t="str">
            <v/>
          </cell>
          <cell r="T319" t="str">
            <v>R</v>
          </cell>
          <cell r="U319" t="str">
            <v/>
          </cell>
          <cell r="V319" t="str">
            <v/>
          </cell>
          <cell r="W319" t="str">
            <v/>
          </cell>
        </row>
        <row r="320">
          <cell r="A320" t="str">
            <v>5</v>
          </cell>
          <cell r="B320" t="str">
            <v>04</v>
          </cell>
          <cell r="C320" t="str">
            <v>02</v>
          </cell>
          <cell r="E320" t="str">
            <v>5.04.02 Update Engineering Baselines</v>
          </cell>
          <cell r="F320" t="str">
            <v/>
          </cell>
          <cell r="G320" t="str">
            <v/>
          </cell>
          <cell r="H320" t="str">
            <v>L</v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  <cell r="N320" t="str">
            <v/>
          </cell>
          <cell r="O320" t="str">
            <v/>
          </cell>
          <cell r="P320" t="str">
            <v/>
          </cell>
          <cell r="Q320" t="str">
            <v/>
          </cell>
          <cell r="R320" t="str">
            <v/>
          </cell>
          <cell r="S320" t="str">
            <v/>
          </cell>
          <cell r="T320" t="str">
            <v>R</v>
          </cell>
          <cell r="U320" t="str">
            <v/>
          </cell>
          <cell r="V320" t="str">
            <v/>
          </cell>
          <cell r="W320" t="str">
            <v/>
          </cell>
        </row>
        <row r="321">
          <cell r="A321" t="str">
            <v>5</v>
          </cell>
          <cell r="B321" t="str">
            <v>05</v>
          </cell>
          <cell r="C321" t="str">
            <v/>
          </cell>
          <cell r="E321" t="str">
            <v>5.05 Industrialization Best Practice and Baseline Updates</v>
          </cell>
          <cell r="F321" t="str">
            <v/>
          </cell>
          <cell r="G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  <cell r="N321" t="str">
            <v/>
          </cell>
          <cell r="O321" t="str">
            <v/>
          </cell>
          <cell r="P321" t="str">
            <v/>
          </cell>
          <cell r="Q321" t="str">
            <v/>
          </cell>
          <cell r="R321" t="str">
            <v/>
          </cell>
          <cell r="S321" t="str">
            <v/>
          </cell>
          <cell r="T321" t="str">
            <v>R</v>
          </cell>
          <cell r="U321" t="str">
            <v>R</v>
          </cell>
          <cell r="V321" t="str">
            <v>R</v>
          </cell>
          <cell r="W321" t="str">
            <v>R</v>
          </cell>
          <cell r="Y321">
            <v>0</v>
          </cell>
        </row>
        <row r="322">
          <cell r="A322" t="str">
            <v>5</v>
          </cell>
          <cell r="B322" t="str">
            <v>05</v>
          </cell>
          <cell r="C322" t="str">
            <v>01</v>
          </cell>
          <cell r="E322" t="str">
            <v>5.05.01  Update Industrialization Best Practices</v>
          </cell>
          <cell r="F322" t="str">
            <v/>
          </cell>
          <cell r="G322" t="str">
            <v/>
          </cell>
          <cell r="H322" t="str">
            <v/>
          </cell>
          <cell r="I322" t="str">
            <v>L</v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  <cell r="N322" t="str">
            <v/>
          </cell>
          <cell r="O322" t="str">
            <v/>
          </cell>
          <cell r="P322" t="str">
            <v/>
          </cell>
          <cell r="Q322" t="str">
            <v/>
          </cell>
          <cell r="R322" t="str">
            <v/>
          </cell>
          <cell r="S322" t="str">
            <v/>
          </cell>
          <cell r="T322" t="str">
            <v>R</v>
          </cell>
          <cell r="U322" t="str">
            <v/>
          </cell>
          <cell r="V322" t="str">
            <v/>
          </cell>
          <cell r="W322" t="str">
            <v/>
          </cell>
        </row>
        <row r="323">
          <cell r="A323" t="str">
            <v>5</v>
          </cell>
          <cell r="B323" t="str">
            <v>05</v>
          </cell>
          <cell r="C323" t="str">
            <v>02</v>
          </cell>
          <cell r="E323" t="str">
            <v>5.05.02 Update Industrialization Baselines</v>
          </cell>
          <cell r="F323" t="str">
            <v/>
          </cell>
          <cell r="G323" t="str">
            <v/>
          </cell>
          <cell r="H323" t="str">
            <v/>
          </cell>
          <cell r="I323" t="str">
            <v>L</v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  <cell r="N323" t="str">
            <v/>
          </cell>
          <cell r="O323" t="str">
            <v/>
          </cell>
          <cell r="P323" t="str">
            <v/>
          </cell>
          <cell r="Q323" t="str">
            <v/>
          </cell>
          <cell r="R323" t="str">
            <v/>
          </cell>
          <cell r="S323" t="str">
            <v/>
          </cell>
          <cell r="T323" t="str">
            <v>R</v>
          </cell>
          <cell r="U323" t="str">
            <v/>
          </cell>
          <cell r="V323" t="str">
            <v/>
          </cell>
          <cell r="W323" t="str">
            <v/>
          </cell>
        </row>
        <row r="324">
          <cell r="A324" t="str">
            <v>5</v>
          </cell>
          <cell r="B324" t="str">
            <v>05</v>
          </cell>
          <cell r="C324" t="str">
            <v>03</v>
          </cell>
          <cell r="E324" t="str">
            <v>5.05.03  Update Baseline Control Plans</v>
          </cell>
          <cell r="F324" t="str">
            <v/>
          </cell>
          <cell r="G324" t="str">
            <v/>
          </cell>
          <cell r="H324" t="str">
            <v/>
          </cell>
          <cell r="I324" t="str">
            <v/>
          </cell>
          <cell r="J324" t="str">
            <v>L</v>
          </cell>
          <cell r="K324" t="str">
            <v/>
          </cell>
          <cell r="L324" t="str">
            <v/>
          </cell>
          <cell r="M324" t="str">
            <v/>
          </cell>
          <cell r="N324" t="str">
            <v/>
          </cell>
          <cell r="O324" t="str">
            <v/>
          </cell>
          <cell r="P324" t="str">
            <v/>
          </cell>
          <cell r="Q324" t="str">
            <v/>
          </cell>
          <cell r="R324" t="str">
            <v/>
          </cell>
          <cell r="S324" t="str">
            <v/>
          </cell>
          <cell r="T324" t="str">
            <v>R</v>
          </cell>
          <cell r="U324" t="str">
            <v/>
          </cell>
          <cell r="V324" t="str">
            <v/>
          </cell>
          <cell r="W324" t="str">
            <v/>
          </cell>
        </row>
        <row r="325">
          <cell r="A325" t="str">
            <v>5</v>
          </cell>
          <cell r="B325" t="str">
            <v>06</v>
          </cell>
          <cell r="C325" t="str">
            <v/>
          </cell>
          <cell r="E325" t="str">
            <v>5.06 Concept to Customer Best Practice and Baseline Updates</v>
          </cell>
          <cell r="F325" t="str">
            <v/>
          </cell>
          <cell r="G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  <cell r="N325" t="str">
            <v/>
          </cell>
          <cell r="O325" t="str">
            <v/>
          </cell>
          <cell r="P325" t="str">
            <v/>
          </cell>
          <cell r="Q325" t="str">
            <v/>
          </cell>
          <cell r="R325" t="str">
            <v/>
          </cell>
          <cell r="S325" t="str">
            <v/>
          </cell>
          <cell r="T325" t="str">
            <v>R</v>
          </cell>
          <cell r="U325" t="str">
            <v/>
          </cell>
          <cell r="V325" t="str">
            <v/>
          </cell>
          <cell r="W325" t="str">
            <v/>
          </cell>
          <cell r="Y325">
            <v>0.3</v>
          </cell>
        </row>
        <row r="326">
          <cell r="A326" t="str">
            <v>5</v>
          </cell>
          <cell r="B326" t="str">
            <v>06</v>
          </cell>
          <cell r="C326" t="str">
            <v>01</v>
          </cell>
          <cell r="E326" t="str">
            <v xml:space="preserve">5.06.01  Update Concept to Customer Process Best Practices </v>
          </cell>
          <cell r="F326" t="str">
            <v/>
          </cell>
          <cell r="G326" t="str">
            <v>L</v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  <cell r="N326" t="str">
            <v/>
          </cell>
          <cell r="O326" t="str">
            <v/>
          </cell>
          <cell r="P326" t="str">
            <v/>
          </cell>
          <cell r="Q326" t="str">
            <v/>
          </cell>
          <cell r="R326" t="str">
            <v/>
          </cell>
          <cell r="S326" t="str">
            <v/>
          </cell>
          <cell r="T326" t="str">
            <v>R</v>
          </cell>
          <cell r="U326" t="str">
            <v>R</v>
          </cell>
          <cell r="V326" t="str">
            <v>R</v>
          </cell>
          <cell r="W326" t="str">
            <v>R</v>
          </cell>
          <cell r="X326">
            <v>30</v>
          </cell>
        </row>
        <row r="327">
          <cell r="A327" t="str">
            <v>5</v>
          </cell>
          <cell r="B327" t="str">
            <v>06</v>
          </cell>
          <cell r="C327" t="str">
            <v>02</v>
          </cell>
          <cell r="E327" t="str">
            <v>5.06.02  Update Project Management Baselines</v>
          </cell>
          <cell r="F327" t="str">
            <v/>
          </cell>
          <cell r="G327" t="str">
            <v>L</v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  <cell r="N327" t="str">
            <v/>
          </cell>
          <cell r="O327" t="str">
            <v/>
          </cell>
          <cell r="P327" t="str">
            <v/>
          </cell>
          <cell r="Q327" t="str">
            <v/>
          </cell>
          <cell r="R327" t="str">
            <v/>
          </cell>
          <cell r="S327" t="str">
            <v/>
          </cell>
          <cell r="T327" t="str">
            <v>R</v>
          </cell>
          <cell r="U327" t="str">
            <v>R</v>
          </cell>
          <cell r="V327" t="str">
            <v>R</v>
          </cell>
          <cell r="W327" t="str">
            <v>R</v>
          </cell>
          <cell r="X327">
            <v>30</v>
          </cell>
        </row>
        <row r="328">
          <cell r="A328" t="str">
            <v>5</v>
          </cell>
          <cell r="B328" t="str">
            <v>07</v>
          </cell>
          <cell r="C328" t="str">
            <v/>
          </cell>
          <cell r="E328" t="str">
            <v>5.07 Project Closeout</v>
          </cell>
          <cell r="F328" t="str">
            <v/>
          </cell>
          <cell r="G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  <cell r="N328" t="str">
            <v/>
          </cell>
          <cell r="O328" t="str">
            <v/>
          </cell>
          <cell r="P328" t="str">
            <v>R</v>
          </cell>
          <cell r="Q328" t="str">
            <v>R</v>
          </cell>
          <cell r="R328" t="str">
            <v/>
          </cell>
          <cell r="S328" t="str">
            <v/>
          </cell>
          <cell r="T328" t="str">
            <v>R</v>
          </cell>
          <cell r="U328" t="str">
            <v>R</v>
          </cell>
          <cell r="V328" t="str">
            <v>R</v>
          </cell>
          <cell r="W328" t="str">
            <v>R</v>
          </cell>
          <cell r="Y328">
            <v>0.2</v>
          </cell>
        </row>
        <row r="329">
          <cell r="A329" t="str">
            <v>5</v>
          </cell>
          <cell r="B329" t="str">
            <v>07</v>
          </cell>
          <cell r="C329" t="str">
            <v>01</v>
          </cell>
          <cell r="E329" t="str">
            <v>5.07.01  Analyze Financial Results</v>
          </cell>
          <cell r="F329" t="str">
            <v/>
          </cell>
          <cell r="G329" t="str">
            <v>L</v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  <cell r="N329" t="str">
            <v/>
          </cell>
          <cell r="O329" t="str">
            <v/>
          </cell>
          <cell r="P329" t="str">
            <v>R</v>
          </cell>
          <cell r="Q329" t="str">
            <v>R</v>
          </cell>
          <cell r="R329" t="str">
            <v/>
          </cell>
          <cell r="S329" t="str">
            <v/>
          </cell>
          <cell r="T329" t="str">
            <v>R</v>
          </cell>
          <cell r="U329" t="str">
            <v>R</v>
          </cell>
          <cell r="V329" t="str">
            <v>R</v>
          </cell>
          <cell r="W329" t="str">
            <v>R</v>
          </cell>
          <cell r="X329">
            <v>20</v>
          </cell>
        </row>
        <row r="330">
          <cell r="A330" t="str">
            <v>5</v>
          </cell>
          <cell r="B330" t="str">
            <v>07</v>
          </cell>
          <cell r="C330" t="str">
            <v>02</v>
          </cell>
          <cell r="E330" t="str">
            <v>5.07.02  Close Project AR &amp; Budget</v>
          </cell>
          <cell r="F330" t="str">
            <v/>
          </cell>
          <cell r="G330" t="str">
            <v>L</v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  <cell r="N330" t="str">
            <v/>
          </cell>
          <cell r="O330" t="str">
            <v/>
          </cell>
          <cell r="P330" t="str">
            <v/>
          </cell>
          <cell r="Q330" t="str">
            <v/>
          </cell>
          <cell r="R330" t="str">
            <v/>
          </cell>
          <cell r="S330" t="str">
            <v/>
          </cell>
          <cell r="T330" t="str">
            <v>R</v>
          </cell>
          <cell r="U330" t="str">
            <v/>
          </cell>
          <cell r="V330" t="str">
            <v/>
          </cell>
          <cell r="W330" t="str">
            <v/>
          </cell>
          <cell r="X330">
            <v>10</v>
          </cell>
        </row>
        <row r="331">
          <cell r="A331" t="str">
            <v>5</v>
          </cell>
          <cell r="B331" t="str">
            <v>07</v>
          </cell>
          <cell r="C331" t="str">
            <v>03</v>
          </cell>
          <cell r="E331" t="str">
            <v>5.07.03  Recognize Project Team's Performance</v>
          </cell>
          <cell r="F331" t="str">
            <v/>
          </cell>
          <cell r="G331" t="str">
            <v>L</v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  <cell r="N331" t="str">
            <v/>
          </cell>
          <cell r="O331" t="str">
            <v/>
          </cell>
          <cell r="P331" t="str">
            <v/>
          </cell>
          <cell r="Q331" t="str">
            <v/>
          </cell>
          <cell r="R331" t="str">
            <v/>
          </cell>
          <cell r="S331" t="str">
            <v/>
          </cell>
          <cell r="T331" t="str">
            <v>R</v>
          </cell>
          <cell r="U331" t="str">
            <v/>
          </cell>
          <cell r="V331" t="str">
            <v/>
          </cell>
          <cell r="W331" t="str">
            <v/>
          </cell>
          <cell r="X331">
            <v>30</v>
          </cell>
        </row>
        <row r="332">
          <cell r="A332" t="str">
            <v>5</v>
          </cell>
          <cell r="B332" t="str">
            <v>07</v>
          </cell>
          <cell r="C332" t="str">
            <v>04</v>
          </cell>
          <cell r="E332" t="str">
            <v>5.07.04  Archive Project Records</v>
          </cell>
          <cell r="F332" t="str">
            <v/>
          </cell>
          <cell r="G332" t="str">
            <v>L</v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  <cell r="N332" t="str">
            <v/>
          </cell>
          <cell r="O332" t="str">
            <v/>
          </cell>
          <cell r="P332" t="str">
            <v/>
          </cell>
          <cell r="Q332" t="str">
            <v/>
          </cell>
          <cell r="R332" t="str">
            <v/>
          </cell>
          <cell r="S332" t="str">
            <v/>
          </cell>
          <cell r="T332" t="str">
            <v>R</v>
          </cell>
          <cell r="U332" t="str">
            <v/>
          </cell>
          <cell r="V332" t="str">
            <v/>
          </cell>
          <cell r="W332" t="str">
            <v/>
          </cell>
          <cell r="X332">
            <v>30</v>
          </cell>
        </row>
        <row r="333">
          <cell r="A333" t="str">
            <v>5</v>
          </cell>
          <cell r="B333" t="str">
            <v>07</v>
          </cell>
          <cell r="C333" t="str">
            <v>05</v>
          </cell>
          <cell r="E333" t="str">
            <v>5.07.05  Conduct Phase 5 Gate Review</v>
          </cell>
          <cell r="F333" t="str">
            <v/>
          </cell>
          <cell r="G333" t="str">
            <v>L</v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  <cell r="N333" t="str">
            <v/>
          </cell>
          <cell r="O333" t="str">
            <v/>
          </cell>
          <cell r="P333" t="str">
            <v>R</v>
          </cell>
          <cell r="Q333" t="str">
            <v>R</v>
          </cell>
          <cell r="R333" t="str">
            <v/>
          </cell>
          <cell r="S333" t="str">
            <v/>
          </cell>
          <cell r="T333" t="str">
            <v>R</v>
          </cell>
          <cell r="U333" t="str">
            <v>R</v>
          </cell>
          <cell r="V333" t="str">
            <v>R</v>
          </cell>
          <cell r="W333" t="str">
            <v>R</v>
          </cell>
          <cell r="X333">
            <v>10</v>
          </cell>
        </row>
      </sheetData>
      <sheetData sheetId="2" refreshError="1"/>
      <sheetData sheetId="3" refreshError="1">
        <row r="40">
          <cell r="B40" t="str">
            <v>CatReport</v>
          </cell>
        </row>
        <row r="41">
          <cell r="B41">
            <v>1</v>
          </cell>
          <cell r="C41">
            <v>2</v>
          </cell>
        </row>
        <row r="42">
          <cell r="B42">
            <v>2</v>
          </cell>
          <cell r="C42">
            <v>3</v>
          </cell>
        </row>
        <row r="43">
          <cell r="B43">
            <v>3</v>
          </cell>
          <cell r="C43">
            <v>3</v>
          </cell>
        </row>
        <row r="44">
          <cell r="B44">
            <v>4</v>
          </cell>
          <cell r="C44">
            <v>3</v>
          </cell>
        </row>
        <row r="45">
          <cell r="B45">
            <v>5</v>
          </cell>
          <cell r="C45">
            <v>2</v>
          </cell>
        </row>
        <row r="46">
          <cell r="B46">
            <v>6</v>
          </cell>
          <cell r="C46">
            <v>2</v>
          </cell>
        </row>
        <row r="47">
          <cell r="B47">
            <v>7</v>
          </cell>
          <cell r="C47">
            <v>2</v>
          </cell>
        </row>
        <row r="48">
          <cell r="B48">
            <v>8</v>
          </cell>
          <cell r="C48">
            <v>3</v>
          </cell>
        </row>
        <row r="49">
          <cell r="B49">
            <v>9</v>
          </cell>
          <cell r="C49">
            <v>3</v>
          </cell>
        </row>
        <row r="50">
          <cell r="B50">
            <v>10</v>
          </cell>
          <cell r="C50">
            <v>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>
        <row r="38">
          <cell r="A38" t="str">
            <v>NA General Manager:</v>
          </cell>
        </row>
        <row r="39">
          <cell r="A39" t="str">
            <v>Russell Carter</v>
          </cell>
        </row>
        <row r="40">
          <cell r="A40" t="str">
            <v>Asia General Managert:</v>
          </cell>
        </row>
        <row r="41">
          <cell r="A41" t="str">
            <v>Nick Arase</v>
          </cell>
        </row>
      </sheetData>
      <sheetData sheetId="1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"/>
      <sheetName val="C"/>
      <sheetName val="B"/>
      <sheetName val="Module1"/>
      <sheetName val="aged"/>
      <sheetName val="aged (2)"/>
      <sheetName val="A&amp;FEntry"/>
      <sheetName val="p.5, bank int income"/>
      <sheetName val="02H、N"/>
      <sheetName val="2008"/>
      <sheetName val="海狮明细账"/>
      <sheetName val="Leaves"/>
      <sheetName val="AR Breakdown"/>
      <sheetName val="1060"/>
      <sheetName val="Burden exp"/>
      <sheetName val="待摊费用明细表"/>
      <sheetName val="长期借款明细表1"/>
      <sheetName val="Sch.1"/>
    </sheetNames>
    <sheetDataSet>
      <sheetData sheetId="0" refreshError="1">
        <row r="134">
          <cell r="E134">
            <v>7100</v>
          </cell>
        </row>
        <row r="135">
          <cell r="E135">
            <v>21</v>
          </cell>
        </row>
        <row r="136">
          <cell r="E136">
            <v>0</v>
          </cell>
        </row>
        <row r="137">
          <cell r="E137">
            <v>0</v>
          </cell>
        </row>
        <row r="138">
          <cell r="E138">
            <v>378</v>
          </cell>
        </row>
        <row r="140">
          <cell r="E140">
            <v>6808</v>
          </cell>
        </row>
        <row r="142">
          <cell r="E142">
            <v>0.61360000000000003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RM plants"/>
      <sheetName val="Part Name &amp; Type Family"/>
      <sheetName val="Volume"/>
      <sheetName val="Direct"/>
      <sheetName val="Asset Utilisation"/>
      <sheetName val="Inputs"/>
      <sheetName val="Demand &amp; Capacity compare-1"/>
      <sheetName val="Demand &amp; Capacity compare-2"/>
      <sheetName val="Demand &amp; Capacity compare-3"/>
    </sheetNames>
    <sheetDataSet>
      <sheetData sheetId="0" refreshError="1">
        <row r="5">
          <cell r="A5" t="str">
            <v>Abrera</v>
          </cell>
          <cell r="B5" t="str">
            <v>Spain</v>
          </cell>
          <cell r="C5" t="str">
            <v>Poligono Industrial Barcelones  
Avenida Can Amat, s/n  
Abrera, Barcelona 08630</v>
          </cell>
          <cell r="D5" t="str">
            <v xml:space="preserve">34-937-704-541 </v>
          </cell>
          <cell r="E5" t="str">
            <v>J.Marzo</v>
          </cell>
          <cell r="F5" t="str">
            <v>Isabel Perez-Portabella</v>
          </cell>
          <cell r="G5" t="str">
            <v>34 93 770 41 90</v>
          </cell>
          <cell r="H5" t="str">
            <v xml:space="preserve">34-669-70-19-20 </v>
          </cell>
          <cell r="I5" t="str">
            <v>34-93-770-45-55</v>
          </cell>
          <cell r="J5" t="str">
            <v>3</v>
          </cell>
          <cell r="K5">
            <v>8</v>
          </cell>
          <cell r="L5">
            <v>25</v>
          </cell>
          <cell r="M5">
            <v>25</v>
          </cell>
          <cell r="N5">
            <v>5</v>
          </cell>
          <cell r="P5">
            <v>0</v>
          </cell>
          <cell r="Q5">
            <v>7.083333333333333</v>
          </cell>
          <cell r="R5">
            <v>226</v>
          </cell>
          <cell r="S5" t="str">
            <v>220-380</v>
          </cell>
          <cell r="T5" t="str">
            <v>50-60</v>
          </cell>
          <cell r="U5">
            <v>0.88541666666666663</v>
          </cell>
        </row>
        <row r="6">
          <cell r="A6" t="str">
            <v>Aditya</v>
          </cell>
          <cell r="J6" t="str">
            <v>3</v>
          </cell>
          <cell r="K6">
            <v>8</v>
          </cell>
          <cell r="L6">
            <v>25</v>
          </cell>
          <cell r="M6">
            <v>25</v>
          </cell>
          <cell r="N6">
            <v>5</v>
          </cell>
          <cell r="O6">
            <v>5</v>
          </cell>
          <cell r="P6">
            <v>0</v>
          </cell>
          <cell r="Q6">
            <v>7</v>
          </cell>
          <cell r="R6">
            <v>300</v>
          </cell>
          <cell r="U6">
            <v>0.875</v>
          </cell>
        </row>
        <row r="7">
          <cell r="A7" t="str">
            <v>Brussels</v>
          </cell>
          <cell r="B7" t="str">
            <v>Belgium</v>
          </cell>
          <cell r="C7" t="str">
            <v xml:space="preserve">243 Bd de l'humanité
1620 Drogenbos </v>
          </cell>
          <cell r="D7" t="str">
            <v xml:space="preserve">32-2-349-1090 </v>
          </cell>
          <cell r="E7" t="str">
            <v>C.Foucat</v>
          </cell>
          <cell r="F7" t="str">
            <v>Philippe DeSeze</v>
          </cell>
          <cell r="J7" t="str">
            <v>3</v>
          </cell>
          <cell r="K7">
            <v>8</v>
          </cell>
          <cell r="L7">
            <v>20</v>
          </cell>
          <cell r="M7">
            <v>20</v>
          </cell>
          <cell r="Q7">
            <v>7.333333333333333</v>
          </cell>
          <cell r="R7">
            <v>226</v>
          </cell>
          <cell r="U7">
            <v>0.91666666666666663</v>
          </cell>
        </row>
        <row r="8">
          <cell r="A8" t="str">
            <v>Changchun</v>
          </cell>
          <cell r="B8" t="str">
            <v>USA</v>
          </cell>
          <cell r="C8" t="str">
            <v>6401 Fort Street  
Detroit, MI 48209</v>
          </cell>
          <cell r="D8" t="str">
            <v xml:space="preserve">313-551-2400 </v>
          </cell>
          <cell r="F8" t="str">
            <v>Stone ZHANG</v>
          </cell>
          <cell r="J8" t="str">
            <v>2</v>
          </cell>
          <cell r="K8">
            <v>8</v>
          </cell>
          <cell r="L8">
            <v>30</v>
          </cell>
          <cell r="M8">
            <v>20</v>
          </cell>
          <cell r="N8">
            <v>10</v>
          </cell>
          <cell r="O8">
            <v>5</v>
          </cell>
          <cell r="P8">
            <v>0</v>
          </cell>
          <cell r="Q8">
            <v>6.916666666666667</v>
          </cell>
          <cell r="R8">
            <v>250</v>
          </cell>
          <cell r="S8" t="str">
            <v>220</v>
          </cell>
          <cell r="T8" t="str">
            <v>50</v>
          </cell>
          <cell r="U8">
            <v>0.86458333333333337</v>
          </cell>
        </row>
        <row r="9">
          <cell r="A9" t="str">
            <v>Gifhorn</v>
          </cell>
          <cell r="B9" t="str">
            <v>Germany</v>
          </cell>
          <cell r="C9" t="str">
            <v>Rockwellstrasse 1  
Gifhorn D-38518</v>
          </cell>
          <cell r="D9" t="str">
            <v xml:space="preserve">49-5371-894-0 </v>
          </cell>
          <cell r="E9" t="str">
            <v xml:space="preserve">Schleicher Roland </v>
          </cell>
          <cell r="F9" t="str">
            <v>Thomas HENTSCHEL</v>
          </cell>
          <cell r="I9" t="str">
            <v>+49-5371-894-397</v>
          </cell>
          <cell r="J9" t="str">
            <v>3</v>
          </cell>
          <cell r="K9">
            <v>8</v>
          </cell>
          <cell r="L9">
            <v>15</v>
          </cell>
          <cell r="M9">
            <v>15</v>
          </cell>
          <cell r="N9">
            <v>5</v>
          </cell>
          <cell r="O9">
            <v>5</v>
          </cell>
          <cell r="P9">
            <v>5</v>
          </cell>
          <cell r="Q9">
            <v>7.25</v>
          </cell>
          <cell r="R9">
            <v>226</v>
          </cell>
          <cell r="S9" t="str">
            <v>230 / 400</v>
          </cell>
          <cell r="T9" t="str">
            <v>50</v>
          </cell>
          <cell r="U9">
            <v>0.90625</v>
          </cell>
        </row>
        <row r="10">
          <cell r="A10" t="str">
            <v>Jurica</v>
          </cell>
          <cell r="B10" t="str">
            <v>Mexico</v>
          </cell>
          <cell r="C10" t="str">
            <v>Jurica (Emissions Plant)
Km 9.5 Carretera Constitucion
Parque Industrial Jurica 76100</v>
          </cell>
          <cell r="D10" t="str">
            <v>+52 442 238 30 00</v>
          </cell>
          <cell r="E10" t="str">
            <v>Isidoro Mata</v>
          </cell>
          <cell r="F10" t="str">
            <v>Adrian SEGOVIA
Rodrigo MORALES</v>
          </cell>
          <cell r="G10" t="str">
            <v>+52  44 22 38 3039</v>
          </cell>
          <cell r="H10" t="str">
            <v>+52  44 22 121 57 42</v>
          </cell>
          <cell r="I10" t="str">
            <v>+52  44 22 18 01 55</v>
          </cell>
          <cell r="J10" t="str">
            <v>3</v>
          </cell>
          <cell r="K10">
            <v>8.5</v>
          </cell>
          <cell r="L10">
            <v>30</v>
          </cell>
          <cell r="M10">
            <v>0</v>
          </cell>
          <cell r="N10">
            <v>10</v>
          </cell>
          <cell r="O10">
            <v>10</v>
          </cell>
          <cell r="P10">
            <v>15</v>
          </cell>
          <cell r="Q10">
            <v>7.416666666666667</v>
          </cell>
          <cell r="R10">
            <v>250</v>
          </cell>
          <cell r="S10" t="str">
            <v>220/440</v>
          </cell>
          <cell r="T10" t="str">
            <v>60</v>
          </cell>
          <cell r="U10">
            <v>0.87254901960784315</v>
          </cell>
        </row>
        <row r="11">
          <cell r="A11" t="str">
            <v>Kysucké Nové Město</v>
          </cell>
          <cell r="E11" t="str">
            <v>R.Paskuliak</v>
          </cell>
          <cell r="F11" t="str">
            <v>Petra JANI</v>
          </cell>
          <cell r="G11" t="str">
            <v>+421 907 835  256</v>
          </cell>
          <cell r="H11" t="str">
            <v>+421 414 250 108</v>
          </cell>
          <cell r="J11" t="str">
            <v>3</v>
          </cell>
          <cell r="K11">
            <v>7.5</v>
          </cell>
          <cell r="L11" t="str">
            <v>out of paid hours</v>
          </cell>
          <cell r="M11">
            <v>0</v>
          </cell>
          <cell r="N11">
            <v>10</v>
          </cell>
          <cell r="O11">
            <v>10</v>
          </cell>
          <cell r="P11">
            <v>0</v>
          </cell>
          <cell r="Q11">
            <v>7.166666666666667</v>
          </cell>
          <cell r="R11">
            <v>226</v>
          </cell>
          <cell r="S11" t="str">
            <v>230 / 400</v>
          </cell>
          <cell r="T11" t="str">
            <v>50</v>
          </cell>
          <cell r="U11">
            <v>0.9555555555555556</v>
          </cell>
        </row>
        <row r="12">
          <cell r="A12" t="str">
            <v>Liberec</v>
          </cell>
          <cell r="B12" t="str">
            <v>Czech Republic</v>
          </cell>
          <cell r="C12" t="str">
            <v>Ceske mladeze 452
460 08 Liberec 8</v>
          </cell>
          <cell r="D12" t="str">
            <v>420-48-5229-307</v>
          </cell>
          <cell r="E12" t="str">
            <v xml:space="preserve">Janák Libor </v>
          </cell>
          <cell r="F12" t="str">
            <v>Miroslav REHAK</v>
          </cell>
          <cell r="G12" t="str">
            <v>+420-48-5229-330</v>
          </cell>
          <cell r="H12" t="str">
            <v>+420-602-353-027</v>
          </cell>
          <cell r="I12" t="str">
            <v>+420 482 771 023</v>
          </cell>
          <cell r="J12" t="str">
            <v>3</v>
          </cell>
          <cell r="K12">
            <v>7.5</v>
          </cell>
          <cell r="L12" t="str">
            <v>out of paid hours</v>
          </cell>
          <cell r="M12">
            <v>0</v>
          </cell>
          <cell r="N12">
            <v>10</v>
          </cell>
          <cell r="O12">
            <v>10</v>
          </cell>
          <cell r="P12">
            <v>0</v>
          </cell>
          <cell r="Q12">
            <v>7.166666666666667</v>
          </cell>
          <cell r="R12">
            <v>226</v>
          </cell>
          <cell r="S12" t="str">
            <v>230 / 400</v>
          </cell>
          <cell r="T12" t="str">
            <v>50</v>
          </cell>
          <cell r="U12">
            <v>0.9555555555555556</v>
          </cell>
        </row>
        <row r="13">
          <cell r="A13" t="str">
            <v>Limeira</v>
          </cell>
          <cell r="B13" t="str">
            <v>Brazil</v>
          </cell>
          <cell r="C13" t="str">
            <v>Av. Major José Levy   
Sobrinho, NR 2700  
13486-925 Limeira, SP</v>
          </cell>
          <cell r="D13" t="str">
            <v>55-19-3404-2175
55 19 8154 9630</v>
          </cell>
          <cell r="E13" t="str">
            <v>Sergio Bardini</v>
          </cell>
          <cell r="F13" t="str">
            <v>Marcus Peixoto</v>
          </cell>
          <cell r="G13" t="str">
            <v>55-19-3404-2294</v>
          </cell>
          <cell r="H13" t="str">
            <v>55-19-9756-6360</v>
          </cell>
          <cell r="I13" t="str">
            <v>55-19-3404-2107</v>
          </cell>
          <cell r="J13" t="str">
            <v>3</v>
          </cell>
          <cell r="K13">
            <v>8.33</v>
          </cell>
          <cell r="L13">
            <v>60</v>
          </cell>
          <cell r="M13">
            <v>0</v>
          </cell>
          <cell r="N13">
            <v>10</v>
          </cell>
          <cell r="O13">
            <v>5</v>
          </cell>
          <cell r="P13">
            <v>10</v>
          </cell>
          <cell r="Q13">
            <v>6.9133333333333331</v>
          </cell>
          <cell r="R13">
            <v>250</v>
          </cell>
          <cell r="S13" t="str">
            <v>380</v>
          </cell>
          <cell r="T13" t="str">
            <v>60</v>
          </cell>
          <cell r="U13">
            <v>0.82993197278911557</v>
          </cell>
        </row>
        <row r="14">
          <cell r="A14" t="str">
            <v>Montgomery</v>
          </cell>
          <cell r="B14" t="str">
            <v>USA</v>
          </cell>
          <cell r="C14" t="str">
            <v>139 Folmar Parkway, Montgomery, AL 36105</v>
          </cell>
          <cell r="D14" t="str">
            <v>+1 334-284-9972</v>
          </cell>
          <cell r="E14" t="str">
            <v>J.Kehres</v>
          </cell>
          <cell r="F14" t="str">
            <v>Steven Ousley</v>
          </cell>
          <cell r="G14" t="str">
            <v>+1 334-284-9972 X 503</v>
          </cell>
          <cell r="H14" t="str">
            <v>+1 334-467-9171</v>
          </cell>
          <cell r="I14" t="str">
            <v>+1 334-284-6142</v>
          </cell>
          <cell r="J14" t="str">
            <v>2</v>
          </cell>
          <cell r="K14">
            <v>9</v>
          </cell>
          <cell r="L14" t="str">
            <v>out of paid hours (45')</v>
          </cell>
          <cell r="M14">
            <v>20</v>
          </cell>
          <cell r="O14">
            <v>5</v>
          </cell>
          <cell r="Q14">
            <v>8.5833333333333339</v>
          </cell>
          <cell r="R14">
            <v>250</v>
          </cell>
          <cell r="S14" t="str">
            <v>480/240/120</v>
          </cell>
          <cell r="T14" t="str">
            <v>60</v>
          </cell>
          <cell r="U14">
            <v>0.95370370370370372</v>
          </cell>
        </row>
        <row r="15">
          <cell r="A15" t="str">
            <v>Mullins</v>
          </cell>
          <cell r="B15" t="str">
            <v>USA</v>
          </cell>
          <cell r="C15" t="str">
            <v>210 West Lowman St, Mullins, SC, 29574</v>
          </cell>
          <cell r="D15" t="str">
            <v xml:space="preserve">+1 843-464-7823 </v>
          </cell>
          <cell r="E15" t="str">
            <v>Todd Nethery</v>
          </cell>
          <cell r="F15" t="str">
            <v>Jason WATERS</v>
          </cell>
          <cell r="G15" t="str">
            <v>+1 843-464-5428</v>
          </cell>
          <cell r="H15" t="str">
            <v>+1 843 206 6057</v>
          </cell>
          <cell r="I15" t="str">
            <v>+1 843 464 8219</v>
          </cell>
          <cell r="J15" t="str">
            <v>3</v>
          </cell>
          <cell r="K15">
            <v>8</v>
          </cell>
          <cell r="L15">
            <v>20</v>
          </cell>
          <cell r="M15">
            <v>10</v>
          </cell>
          <cell r="N15">
            <v>10</v>
          </cell>
          <cell r="O15">
            <v>5</v>
          </cell>
          <cell r="P15">
            <v>5</v>
          </cell>
          <cell r="Q15">
            <v>7.166666666666667</v>
          </cell>
          <cell r="R15">
            <v>250</v>
          </cell>
          <cell r="S15" t="str">
            <v>480 / 240 / 120</v>
          </cell>
          <cell r="T15" t="str">
            <v>60</v>
          </cell>
          <cell r="U15">
            <v>0.89583333333333337</v>
          </cell>
        </row>
        <row r="16">
          <cell r="A16" t="str">
            <v>Poznan</v>
          </cell>
          <cell r="B16" t="str">
            <v>Poland</v>
          </cell>
          <cell r="C16" t="str">
            <v>ul. Lowecinska 30, Jasin                            PL-62-020 Swarzedz</v>
          </cell>
          <cell r="D16" t="str">
            <v>+48 61 8186931</v>
          </cell>
          <cell r="E16" t="str">
            <v xml:space="preserve">Piotr Weglarz </v>
          </cell>
          <cell r="F16" t="str">
            <v>Jacub BOBROW</v>
          </cell>
          <cell r="H16" t="str">
            <v>+48 507030471</v>
          </cell>
          <cell r="I16" t="str">
            <v>+48 61 8186930</v>
          </cell>
          <cell r="J16" t="str">
            <v>3</v>
          </cell>
          <cell r="K16">
            <v>8</v>
          </cell>
          <cell r="L16">
            <v>20</v>
          </cell>
          <cell r="M16">
            <v>10</v>
          </cell>
          <cell r="N16">
            <v>5</v>
          </cell>
          <cell r="O16">
            <v>10</v>
          </cell>
          <cell r="P16">
            <v>0</v>
          </cell>
          <cell r="Q16">
            <v>7.25</v>
          </cell>
          <cell r="R16">
            <v>226</v>
          </cell>
          <cell r="S16" t="str">
            <v>230 / 400</v>
          </cell>
          <cell r="T16" t="str">
            <v>50</v>
          </cell>
          <cell r="U16">
            <v>0.90625</v>
          </cell>
        </row>
        <row r="17">
          <cell r="A17" t="str">
            <v>Puebla</v>
          </cell>
          <cell r="B17" t="str">
            <v>Mexico</v>
          </cell>
          <cell r="C17" t="str">
            <v>Km 117 Autopista Mexico-Puebla  
Parque Ind. Finsa Nave 19 D  
Cuautlancingo, Puebla 72710</v>
          </cell>
          <cell r="D17" t="str">
            <v>52-2221140020
mobil</v>
          </cell>
          <cell r="E17" t="str">
            <v>Jesus Gomez</v>
          </cell>
          <cell r="F17" t="str">
            <v xml:space="preserve">Gerardo AMADOR
Tonatiuh LEON
</v>
          </cell>
          <cell r="H17" t="str">
            <v>52-2221140035 
(G.Amador)
52-2221140037 
(M.Poblano)</v>
          </cell>
          <cell r="I17" t="str">
            <v>52-22-22-105-603</v>
          </cell>
          <cell r="J17" t="str">
            <v>2</v>
          </cell>
          <cell r="K17">
            <v>9</v>
          </cell>
          <cell r="L17">
            <v>30</v>
          </cell>
          <cell r="M17">
            <v>0</v>
          </cell>
          <cell r="N17">
            <v>10</v>
          </cell>
          <cell r="O17">
            <v>10</v>
          </cell>
          <cell r="P17">
            <v>10</v>
          </cell>
          <cell r="Q17">
            <v>8</v>
          </cell>
          <cell r="R17">
            <v>250</v>
          </cell>
          <cell r="S17" t="str">
            <v>440/220</v>
          </cell>
          <cell r="T17" t="str">
            <v>60</v>
          </cell>
          <cell r="U17">
            <v>0.88888888888888884</v>
          </cell>
        </row>
        <row r="18">
          <cell r="A18" t="str">
            <v>Rumania</v>
          </cell>
          <cell r="J18" t="str">
            <v>3</v>
          </cell>
          <cell r="K18">
            <v>7.5</v>
          </cell>
          <cell r="L18" t="str">
            <v>out of paid hours</v>
          </cell>
          <cell r="M18">
            <v>0</v>
          </cell>
          <cell r="N18">
            <v>10</v>
          </cell>
          <cell r="O18">
            <v>10</v>
          </cell>
          <cell r="P18">
            <v>0</v>
          </cell>
          <cell r="Q18">
            <v>7.166666666666667</v>
          </cell>
          <cell r="R18">
            <v>226</v>
          </cell>
          <cell r="U18">
            <v>0.9555555555555556</v>
          </cell>
        </row>
        <row r="19">
          <cell r="A19" t="str">
            <v>SaintDie</v>
          </cell>
          <cell r="B19" t="str">
            <v>France</v>
          </cell>
          <cell r="C19" t="str">
            <v xml:space="preserve">8,Rue Sebastien Lehr
BP153
88104 Saint Dié </v>
          </cell>
          <cell r="D19" t="str">
            <v>33-329-522-020</v>
          </cell>
          <cell r="E19" t="str">
            <v>Adalton Mendonca</v>
          </cell>
          <cell r="F19" t="str">
            <v>F.Minmeister</v>
          </cell>
          <cell r="G19" t="str">
            <v>33-329-522-044</v>
          </cell>
          <cell r="I19" t="str">
            <v>33-329-522-039</v>
          </cell>
          <cell r="J19" t="str">
            <v>3</v>
          </cell>
          <cell r="K19">
            <v>8</v>
          </cell>
          <cell r="L19">
            <v>30</v>
          </cell>
          <cell r="M19">
            <v>10</v>
          </cell>
          <cell r="N19">
            <v>7</v>
          </cell>
          <cell r="O19">
            <v>5</v>
          </cell>
          <cell r="P19">
            <v>5</v>
          </cell>
          <cell r="Q19">
            <v>7.05</v>
          </cell>
          <cell r="R19">
            <v>226</v>
          </cell>
          <cell r="S19" t="str">
            <v>219 / 230</v>
          </cell>
          <cell r="T19" t="str">
            <v>49</v>
          </cell>
          <cell r="U19">
            <v>0.88124999999999998</v>
          </cell>
        </row>
        <row r="20">
          <cell r="A20" t="str">
            <v>Sully</v>
          </cell>
          <cell r="B20" t="str">
            <v>France</v>
          </cell>
          <cell r="C20" t="str">
            <v>18, Chemin des Gauriers
45600 Sully sur Loire</v>
          </cell>
          <cell r="D20" t="str">
            <v xml:space="preserve">33-238-298-800 </v>
          </cell>
          <cell r="E20" t="str">
            <v>Thierry Jacquin</v>
          </cell>
          <cell r="F20" t="str">
            <v>Alexandre
 PRINTANIER</v>
          </cell>
          <cell r="G20" t="str">
            <v xml:space="preserve">33-238-298-843 </v>
          </cell>
          <cell r="I20" t="str">
            <v>+33 (0) 2 38 29 88 30</v>
          </cell>
          <cell r="J20" t="str">
            <v>3</v>
          </cell>
          <cell r="K20">
            <v>8</v>
          </cell>
          <cell r="L20">
            <v>30</v>
          </cell>
          <cell r="M20">
            <v>30</v>
          </cell>
          <cell r="N20">
            <v>5</v>
          </cell>
          <cell r="O20">
            <v>5</v>
          </cell>
          <cell r="P20">
            <v>0</v>
          </cell>
          <cell r="Q20">
            <v>6.833333333333333</v>
          </cell>
          <cell r="R20">
            <v>226</v>
          </cell>
          <cell r="S20" t="str">
            <v>220 / 230</v>
          </cell>
          <cell r="T20" t="str">
            <v>50</v>
          </cell>
          <cell r="U20">
            <v>0.85416666666666663</v>
          </cell>
        </row>
        <row r="21">
          <cell r="A21" t="str">
            <v>Zhenjiang</v>
          </cell>
          <cell r="B21" t="str">
            <v>China</v>
          </cell>
          <cell r="C21" t="str">
            <v>2 Jingwu Rd  
Digmao Economic Development  
Zhenjiang, Jiangsu 212008</v>
          </cell>
          <cell r="D21" t="str">
            <v xml:space="preserve">+86-511-888-5999 </v>
          </cell>
          <cell r="E21" t="str">
            <v>Robin Rehel</v>
          </cell>
          <cell r="F21" t="str">
            <v>Cheah KK</v>
          </cell>
          <cell r="G21" t="str">
            <v>+86-511-888-5557</v>
          </cell>
          <cell r="H21" t="str">
            <v>+86-138-6244-8212 Adrian Shi
+86 511 888 5557 KK</v>
          </cell>
          <cell r="I21" t="str">
            <v>+86-511-888-5111</v>
          </cell>
          <cell r="J21" t="str">
            <v>3</v>
          </cell>
          <cell r="K21">
            <v>8</v>
          </cell>
          <cell r="L21">
            <v>30</v>
          </cell>
          <cell r="M21">
            <v>20</v>
          </cell>
          <cell r="N21">
            <v>10</v>
          </cell>
          <cell r="O21">
            <v>5</v>
          </cell>
          <cell r="P21">
            <v>0</v>
          </cell>
          <cell r="Q21">
            <v>6.916666666666667</v>
          </cell>
          <cell r="R21">
            <v>300</v>
          </cell>
          <cell r="S21" t="str">
            <v>220</v>
          </cell>
          <cell r="T21" t="str">
            <v>50</v>
          </cell>
          <cell r="U21">
            <v>0.86458333333333337</v>
          </cell>
        </row>
        <row r="22">
          <cell r="Q22">
            <v>0</v>
          </cell>
        </row>
      </sheetData>
      <sheetData sheetId="1" refreshError="1">
        <row r="4">
          <cell r="I4" t="str">
            <v>Actuator</v>
          </cell>
          <cell r="J4" t="str">
            <v>Actuator</v>
          </cell>
        </row>
        <row r="5">
          <cell r="I5" t="str">
            <v>Controller</v>
          </cell>
          <cell r="J5" t="str">
            <v xml:space="preserve">ArmSector_SingleArm </v>
          </cell>
        </row>
        <row r="6">
          <cell r="I6" t="str">
            <v>Commutator</v>
          </cell>
          <cell r="J6" t="str">
            <v xml:space="preserve">ArmSector_X </v>
          </cell>
        </row>
        <row r="7">
          <cell r="I7" t="str">
            <v>Door</v>
          </cell>
          <cell r="J7" t="str">
            <v>Backplate</v>
          </cell>
        </row>
        <row r="8">
          <cell r="I8" t="str">
            <v>Door Module</v>
          </cell>
          <cell r="J8" t="str">
            <v>Basic Module</v>
          </cell>
        </row>
        <row r="9">
          <cell r="I9" t="str">
            <v>Latch</v>
          </cell>
          <cell r="J9" t="str">
            <v>Body</v>
          </cell>
        </row>
        <row r="10">
          <cell r="I10" t="str">
            <v>Motor</v>
          </cell>
          <cell r="J10" t="str">
            <v>Cable &amp; Cursor Assy</v>
          </cell>
        </row>
        <row r="11">
          <cell r="I11" t="str">
            <v>Reduced Door Module</v>
          </cell>
          <cell r="J11" t="str">
            <v>Carrier Plate Assy + RPS</v>
          </cell>
        </row>
        <row r="12">
          <cell r="I12" t="str">
            <v>Striker</v>
          </cell>
          <cell r="J12" t="str">
            <v>CDL</v>
          </cell>
        </row>
        <row r="13">
          <cell r="I13" t="str">
            <v>Sub-Assy</v>
          </cell>
          <cell r="J13" t="str">
            <v>Commutator</v>
          </cell>
        </row>
        <row r="14">
          <cell r="I14" t="str">
            <v>Window Regulator</v>
          </cell>
          <cell r="J14" t="str">
            <v>Controller</v>
          </cell>
        </row>
        <row r="15">
          <cell r="J15" t="str">
            <v>Door</v>
          </cell>
        </row>
        <row r="16">
          <cell r="J16" t="str">
            <v>Door Module</v>
          </cell>
        </row>
        <row r="17">
          <cell r="J17" t="str">
            <v xml:space="preserve">DrumCable_Banjo </v>
          </cell>
        </row>
        <row r="18">
          <cell r="J18" t="str">
            <v xml:space="preserve">DrumCable_DoubleLift </v>
          </cell>
        </row>
        <row r="19">
          <cell r="J19" t="str">
            <v xml:space="preserve">DrumCable_SingleLift </v>
          </cell>
        </row>
        <row r="20">
          <cell r="J20" t="str">
            <v>Hood / Bonnet</v>
          </cell>
        </row>
        <row r="21">
          <cell r="J21" t="str">
            <v>Mechanical</v>
          </cell>
        </row>
        <row r="22">
          <cell r="J22" t="str">
            <v>Mirror Assy</v>
          </cell>
        </row>
        <row r="23">
          <cell r="J23" t="str">
            <v>Motor</v>
          </cell>
        </row>
        <row r="24">
          <cell r="J24" t="str">
            <v>Motor Plate Assy</v>
          </cell>
        </row>
        <row r="25">
          <cell r="J25" t="str">
            <v>NGM1 AS</v>
          </cell>
        </row>
        <row r="26">
          <cell r="J26" t="str">
            <v>NGM1 Std</v>
          </cell>
        </row>
        <row r="27">
          <cell r="J27" t="str">
            <v>NGM1 Std EMC</v>
          </cell>
        </row>
        <row r="28">
          <cell r="J28" t="str">
            <v>NGM2 AS</v>
          </cell>
        </row>
        <row r="29">
          <cell r="J29" t="str">
            <v>NGM2 Std</v>
          </cell>
        </row>
        <row r="30">
          <cell r="J30" t="str">
            <v>NGM2 Std EMC</v>
          </cell>
        </row>
        <row r="31">
          <cell r="J31" t="str">
            <v>Panel Plate Assy</v>
          </cell>
        </row>
        <row r="32">
          <cell r="J32" t="str">
            <v>Power Closure</v>
          </cell>
        </row>
        <row r="33">
          <cell r="J33" t="str">
            <v>Power Release</v>
          </cell>
        </row>
        <row r="34">
          <cell r="J34" t="str">
            <v>Pulley Assy</v>
          </cell>
        </row>
        <row r="35">
          <cell r="J35" t="str">
            <v xml:space="preserve">PushPull_Compatto </v>
          </cell>
        </row>
        <row r="36">
          <cell r="J36" t="str">
            <v xml:space="preserve">PushPull_Golde </v>
          </cell>
        </row>
        <row r="37">
          <cell r="J37" t="str">
            <v xml:space="preserve">QuarterPanel </v>
          </cell>
        </row>
        <row r="38">
          <cell r="J38" t="str">
            <v>Rail Assy</v>
          </cell>
        </row>
        <row r="39">
          <cell r="J39" t="str">
            <v>Reduced Door Module</v>
          </cell>
        </row>
        <row r="40">
          <cell r="J40" t="str">
            <v>Reduced WR Banjo</v>
          </cell>
        </row>
        <row r="41">
          <cell r="J41" t="str">
            <v>Reduced WR DL</v>
          </cell>
        </row>
        <row r="42">
          <cell r="J42" t="str">
            <v>Reduced WR SL</v>
          </cell>
        </row>
        <row r="43">
          <cell r="J43" t="str">
            <v xml:space="preserve">Retention </v>
          </cell>
        </row>
        <row r="44">
          <cell r="J44" t="str">
            <v>RPS</v>
          </cell>
        </row>
        <row r="45">
          <cell r="J45" t="str">
            <v>Screw and Plate Crimp</v>
          </cell>
        </row>
        <row r="46">
          <cell r="J46" t="str">
            <v>Sealed Carrier Plate</v>
          </cell>
        </row>
        <row r="47">
          <cell r="J47" t="str">
            <v>SL</v>
          </cell>
        </row>
        <row r="48">
          <cell r="J48" t="str">
            <v>Striker</v>
          </cell>
        </row>
        <row r="49">
          <cell r="J49" t="str">
            <v>Tailgate / Trunk</v>
          </cell>
        </row>
        <row r="50">
          <cell r="J50" t="str">
            <v>WR Riveting on Module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alter Suport Add Time"/>
      <sheetName val="MTM mémo"/>
      <sheetName val="simultaneity"/>
      <sheetName val="electric plate assy"/>
      <sheetName val="manual plate assy"/>
    </sheetNames>
    <sheetDataSet>
      <sheetData sheetId="0" refreshError="1"/>
      <sheetData sheetId="1" refreshError="1"/>
      <sheetData sheetId="2" refreshError="1">
        <row r="1">
          <cell r="B1">
            <v>0</v>
          </cell>
          <cell r="C1" t="str">
            <v>PA5</v>
          </cell>
          <cell r="D1" t="str">
            <v>PA15</v>
          </cell>
          <cell r="E1" t="str">
            <v>PA30</v>
          </cell>
          <cell r="F1" t="str">
            <v>PA45</v>
          </cell>
          <cell r="G1" t="str">
            <v>PA80</v>
          </cell>
          <cell r="H1" t="str">
            <v>PB I 5</v>
          </cell>
          <cell r="I1" t="str">
            <v>PB H 5</v>
          </cell>
          <cell r="J1" t="str">
            <v>PB I 15</v>
          </cell>
          <cell r="K1" t="str">
            <v>PB H 15</v>
          </cell>
          <cell r="L1" t="str">
            <v>PB I 30</v>
          </cell>
          <cell r="M1" t="str">
            <v>PB H 30</v>
          </cell>
          <cell r="N1" t="str">
            <v>PB I 45</v>
          </cell>
          <cell r="O1" t="str">
            <v>PB H 45</v>
          </cell>
          <cell r="P1" t="str">
            <v>PB I 80</v>
          </cell>
          <cell r="Q1" t="str">
            <v>PB H 80</v>
          </cell>
          <cell r="R1" t="str">
            <v>PC5</v>
          </cell>
          <cell r="S1" t="str">
            <v>PC15</v>
          </cell>
          <cell r="T1" t="str">
            <v>PC30</v>
          </cell>
          <cell r="U1" t="str">
            <v>PC45</v>
          </cell>
          <cell r="V1" t="str">
            <v>PC80</v>
          </cell>
          <cell r="W1" t="str">
            <v>GA5</v>
          </cell>
          <cell r="X1" t="str">
            <v>GA15</v>
          </cell>
          <cell r="Y1" t="str">
            <v>GA30</v>
          </cell>
          <cell r="Z1" t="str">
            <v>GA45</v>
          </cell>
          <cell r="AA1" t="str">
            <v>GA80</v>
          </cell>
          <cell r="AB1" t="str">
            <v>GB5</v>
          </cell>
          <cell r="AC1" t="str">
            <v>GB15</v>
          </cell>
          <cell r="AD1" t="str">
            <v>GB30</v>
          </cell>
          <cell r="AE1" t="str">
            <v>GB45</v>
          </cell>
          <cell r="AF1" t="str">
            <v>GB80</v>
          </cell>
          <cell r="AG1" t="str">
            <v>GC5</v>
          </cell>
          <cell r="AH1" t="str">
            <v>GC15</v>
          </cell>
          <cell r="AI1" t="str">
            <v>GC30</v>
          </cell>
          <cell r="AJ1" t="str">
            <v>GC45</v>
          </cell>
          <cell r="AK1" t="str">
            <v>GC80</v>
          </cell>
          <cell r="AL1" t="str">
            <v>TT</v>
          </cell>
          <cell r="AM1" t="str">
            <v>A</v>
          </cell>
          <cell r="AN1" t="str">
            <v>R</v>
          </cell>
          <cell r="AO1" t="str">
            <v>E</v>
          </cell>
          <cell r="AP1" t="str">
            <v>C</v>
          </cell>
          <cell r="AQ1" t="str">
            <v>S</v>
          </cell>
          <cell r="AR1" t="str">
            <v>F</v>
          </cell>
          <cell r="AS1" t="str">
            <v>B</v>
          </cell>
        </row>
        <row r="2">
          <cell r="C2">
            <v>3</v>
          </cell>
          <cell r="D2">
            <v>6</v>
          </cell>
          <cell r="E2">
            <v>11</v>
          </cell>
          <cell r="F2">
            <v>15</v>
          </cell>
          <cell r="G2">
            <v>20</v>
          </cell>
          <cell r="H2">
            <v>10</v>
          </cell>
          <cell r="I2">
            <v>10</v>
          </cell>
          <cell r="J2">
            <v>15</v>
          </cell>
          <cell r="K2">
            <v>15</v>
          </cell>
          <cell r="L2">
            <v>19</v>
          </cell>
          <cell r="M2">
            <v>19</v>
          </cell>
          <cell r="N2">
            <v>24</v>
          </cell>
          <cell r="O2">
            <v>24</v>
          </cell>
          <cell r="P2">
            <v>30</v>
          </cell>
          <cell r="Q2">
            <v>30</v>
          </cell>
          <cell r="R2">
            <v>21</v>
          </cell>
          <cell r="S2">
            <v>26</v>
          </cell>
          <cell r="T2">
            <v>30</v>
          </cell>
          <cell r="U2">
            <v>36</v>
          </cell>
          <cell r="V2">
            <v>41</v>
          </cell>
          <cell r="W2">
            <v>3</v>
          </cell>
          <cell r="X2">
            <v>6</v>
          </cell>
          <cell r="Y2">
            <v>9</v>
          </cell>
          <cell r="Z2">
            <v>13</v>
          </cell>
          <cell r="AA2">
            <v>17</v>
          </cell>
          <cell r="AB2">
            <v>7</v>
          </cell>
          <cell r="AC2">
            <v>10</v>
          </cell>
          <cell r="AD2">
            <v>14</v>
          </cell>
          <cell r="AE2">
            <v>18</v>
          </cell>
          <cell r="AF2">
            <v>23</v>
          </cell>
          <cell r="AG2">
            <v>14</v>
          </cell>
          <cell r="AH2">
            <v>19</v>
          </cell>
          <cell r="AI2">
            <v>23</v>
          </cell>
          <cell r="AJ2">
            <v>27</v>
          </cell>
          <cell r="AK2">
            <v>32</v>
          </cell>
          <cell r="AL2">
            <v>0</v>
          </cell>
          <cell r="AM2">
            <v>14</v>
          </cell>
          <cell r="AN2">
            <v>6</v>
          </cell>
          <cell r="AO2">
            <v>7</v>
          </cell>
          <cell r="AP2">
            <v>15</v>
          </cell>
          <cell r="AQ2">
            <v>18</v>
          </cell>
          <cell r="AR2">
            <v>9</v>
          </cell>
          <cell r="AS2">
            <v>61</v>
          </cell>
        </row>
        <row r="3">
          <cell r="A3">
            <v>0</v>
          </cell>
          <cell r="B3">
            <v>1</v>
          </cell>
          <cell r="C3">
            <v>1</v>
          </cell>
          <cell r="D3">
            <v>1</v>
          </cell>
          <cell r="E3">
            <v>1</v>
          </cell>
          <cell r="F3">
            <v>1</v>
          </cell>
          <cell r="G3">
            <v>1</v>
          </cell>
          <cell r="H3">
            <v>1</v>
          </cell>
          <cell r="I3">
            <v>1</v>
          </cell>
          <cell r="J3">
            <v>1</v>
          </cell>
          <cell r="K3">
            <v>1</v>
          </cell>
          <cell r="L3">
            <v>1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1</v>
          </cell>
          <cell r="S3">
            <v>1</v>
          </cell>
          <cell r="T3">
            <v>1</v>
          </cell>
          <cell r="U3">
            <v>1</v>
          </cell>
          <cell r="V3">
            <v>1</v>
          </cell>
          <cell r="W3">
            <v>1</v>
          </cell>
          <cell r="X3">
            <v>1</v>
          </cell>
          <cell r="Y3">
            <v>1</v>
          </cell>
          <cell r="Z3">
            <v>1</v>
          </cell>
          <cell r="AA3">
            <v>1</v>
          </cell>
          <cell r="AB3">
            <v>1</v>
          </cell>
          <cell r="AC3">
            <v>1</v>
          </cell>
          <cell r="AD3">
            <v>1</v>
          </cell>
          <cell r="AE3">
            <v>1</v>
          </cell>
          <cell r="AF3">
            <v>1</v>
          </cell>
          <cell r="AG3">
            <v>1</v>
          </cell>
          <cell r="AH3">
            <v>1</v>
          </cell>
          <cell r="AI3">
            <v>1</v>
          </cell>
          <cell r="AJ3">
            <v>1</v>
          </cell>
          <cell r="AK3">
            <v>1</v>
          </cell>
          <cell r="AL3">
            <v>1</v>
          </cell>
          <cell r="AM3">
            <v>1</v>
          </cell>
          <cell r="AN3">
            <v>1</v>
          </cell>
          <cell r="AO3">
            <v>1</v>
          </cell>
          <cell r="AP3">
            <v>1</v>
          </cell>
          <cell r="AQ3">
            <v>1</v>
          </cell>
          <cell r="AR3">
            <v>1</v>
          </cell>
          <cell r="AS3">
            <v>1</v>
          </cell>
        </row>
        <row r="4">
          <cell r="A4" t="str">
            <v>PA5</v>
          </cell>
          <cell r="B4">
            <v>1</v>
          </cell>
          <cell r="C4">
            <v>1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2</v>
          </cell>
          <cell r="I4">
            <v>2</v>
          </cell>
          <cell r="J4">
            <v>2</v>
          </cell>
          <cell r="K4">
            <v>2</v>
          </cell>
          <cell r="L4">
            <v>2</v>
          </cell>
          <cell r="M4">
            <v>2</v>
          </cell>
          <cell r="N4">
            <v>2</v>
          </cell>
          <cell r="O4">
            <v>2</v>
          </cell>
          <cell r="P4">
            <v>2</v>
          </cell>
          <cell r="Q4">
            <v>2</v>
          </cell>
          <cell r="R4">
            <v>2</v>
          </cell>
          <cell r="S4">
            <v>2</v>
          </cell>
          <cell r="T4">
            <v>2</v>
          </cell>
          <cell r="U4">
            <v>2</v>
          </cell>
          <cell r="V4">
            <v>2</v>
          </cell>
          <cell r="W4">
            <v>1</v>
          </cell>
          <cell r="X4">
            <v>1</v>
          </cell>
          <cell r="Y4">
            <v>1</v>
          </cell>
          <cell r="Z4">
            <v>1</v>
          </cell>
          <cell r="AA4">
            <v>1</v>
          </cell>
          <cell r="AB4">
            <v>1</v>
          </cell>
          <cell r="AC4">
            <v>1</v>
          </cell>
          <cell r="AD4">
            <v>1</v>
          </cell>
          <cell r="AE4">
            <v>1</v>
          </cell>
          <cell r="AF4">
            <v>1</v>
          </cell>
          <cell r="AG4">
            <v>2</v>
          </cell>
          <cell r="AH4">
            <v>2</v>
          </cell>
          <cell r="AI4">
            <v>2</v>
          </cell>
          <cell r="AJ4">
            <v>2</v>
          </cell>
          <cell r="AK4">
            <v>2</v>
          </cell>
          <cell r="AL4">
            <v>1</v>
          </cell>
          <cell r="AM4">
            <v>1</v>
          </cell>
          <cell r="AN4">
            <v>3</v>
          </cell>
          <cell r="AO4" t="str">
            <v>Check!</v>
          </cell>
          <cell r="AP4">
            <v>1</v>
          </cell>
          <cell r="AQ4">
            <v>1</v>
          </cell>
          <cell r="AR4">
            <v>1</v>
          </cell>
          <cell r="AS4">
            <v>1</v>
          </cell>
        </row>
        <row r="5">
          <cell r="A5" t="str">
            <v>PA15</v>
          </cell>
          <cell r="B5">
            <v>1</v>
          </cell>
          <cell r="C5">
            <v>1</v>
          </cell>
          <cell r="D5">
            <v>1</v>
          </cell>
          <cell r="E5">
            <v>1</v>
          </cell>
          <cell r="F5">
            <v>1</v>
          </cell>
          <cell r="G5">
            <v>1</v>
          </cell>
          <cell r="H5">
            <v>2</v>
          </cell>
          <cell r="I5">
            <v>2</v>
          </cell>
          <cell r="J5">
            <v>2</v>
          </cell>
          <cell r="K5">
            <v>2</v>
          </cell>
          <cell r="L5">
            <v>2</v>
          </cell>
          <cell r="M5">
            <v>2</v>
          </cell>
          <cell r="N5">
            <v>2</v>
          </cell>
          <cell r="O5">
            <v>2</v>
          </cell>
          <cell r="P5">
            <v>2</v>
          </cell>
          <cell r="Q5">
            <v>2</v>
          </cell>
          <cell r="R5">
            <v>2</v>
          </cell>
          <cell r="S5">
            <v>2</v>
          </cell>
          <cell r="T5">
            <v>2</v>
          </cell>
          <cell r="U5">
            <v>2</v>
          </cell>
          <cell r="V5">
            <v>2</v>
          </cell>
          <cell r="W5">
            <v>1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>
            <v>1</v>
          </cell>
          <cell r="AC5">
            <v>1</v>
          </cell>
          <cell r="AD5">
            <v>1</v>
          </cell>
          <cell r="AE5">
            <v>1</v>
          </cell>
          <cell r="AF5">
            <v>1</v>
          </cell>
          <cell r="AG5">
            <v>2</v>
          </cell>
          <cell r="AH5">
            <v>2</v>
          </cell>
          <cell r="AI5">
            <v>2</v>
          </cell>
          <cell r="AJ5">
            <v>2</v>
          </cell>
          <cell r="AK5">
            <v>2</v>
          </cell>
          <cell r="AL5">
            <v>1</v>
          </cell>
          <cell r="AM5">
            <v>1</v>
          </cell>
          <cell r="AN5">
            <v>3</v>
          </cell>
          <cell r="AO5" t="str">
            <v>Check!</v>
          </cell>
          <cell r="AP5">
            <v>1</v>
          </cell>
          <cell r="AQ5">
            <v>1</v>
          </cell>
          <cell r="AR5">
            <v>1</v>
          </cell>
          <cell r="AS5">
            <v>1</v>
          </cell>
        </row>
        <row r="6">
          <cell r="A6" t="str">
            <v>PA30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2</v>
          </cell>
          <cell r="I6">
            <v>2</v>
          </cell>
          <cell r="J6">
            <v>2</v>
          </cell>
          <cell r="K6">
            <v>2</v>
          </cell>
          <cell r="L6">
            <v>2</v>
          </cell>
          <cell r="M6">
            <v>2</v>
          </cell>
          <cell r="N6">
            <v>2</v>
          </cell>
          <cell r="O6">
            <v>2</v>
          </cell>
          <cell r="P6">
            <v>2</v>
          </cell>
          <cell r="Q6">
            <v>2</v>
          </cell>
          <cell r="R6">
            <v>2</v>
          </cell>
          <cell r="S6">
            <v>2</v>
          </cell>
          <cell r="T6">
            <v>2</v>
          </cell>
          <cell r="U6">
            <v>2</v>
          </cell>
          <cell r="V6">
            <v>2</v>
          </cell>
          <cell r="W6">
            <v>1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>
            <v>1</v>
          </cell>
          <cell r="AC6">
            <v>1</v>
          </cell>
          <cell r="AD6">
            <v>1</v>
          </cell>
          <cell r="AE6">
            <v>1</v>
          </cell>
          <cell r="AF6">
            <v>1</v>
          </cell>
          <cell r="AG6">
            <v>2</v>
          </cell>
          <cell r="AH6">
            <v>2</v>
          </cell>
          <cell r="AI6">
            <v>2</v>
          </cell>
          <cell r="AJ6">
            <v>2</v>
          </cell>
          <cell r="AK6">
            <v>2</v>
          </cell>
          <cell r="AL6">
            <v>1</v>
          </cell>
          <cell r="AM6">
            <v>1</v>
          </cell>
          <cell r="AN6">
            <v>3</v>
          </cell>
          <cell r="AO6" t="str">
            <v>Check!</v>
          </cell>
          <cell r="AP6">
            <v>1</v>
          </cell>
          <cell r="AQ6">
            <v>1</v>
          </cell>
          <cell r="AR6">
            <v>1</v>
          </cell>
          <cell r="AS6">
            <v>1</v>
          </cell>
        </row>
        <row r="7">
          <cell r="A7" t="str">
            <v>PA45</v>
          </cell>
          <cell r="B7">
            <v>1</v>
          </cell>
          <cell r="C7">
            <v>1</v>
          </cell>
          <cell r="D7">
            <v>1</v>
          </cell>
          <cell r="E7">
            <v>1</v>
          </cell>
          <cell r="F7">
            <v>1</v>
          </cell>
          <cell r="G7">
            <v>1</v>
          </cell>
          <cell r="H7">
            <v>2</v>
          </cell>
          <cell r="I7">
            <v>2</v>
          </cell>
          <cell r="J7">
            <v>2</v>
          </cell>
          <cell r="K7">
            <v>2</v>
          </cell>
          <cell r="L7">
            <v>2</v>
          </cell>
          <cell r="M7">
            <v>2</v>
          </cell>
          <cell r="N7">
            <v>2</v>
          </cell>
          <cell r="O7">
            <v>2</v>
          </cell>
          <cell r="P7">
            <v>2</v>
          </cell>
          <cell r="Q7">
            <v>2</v>
          </cell>
          <cell r="R7">
            <v>2</v>
          </cell>
          <cell r="S7">
            <v>2</v>
          </cell>
          <cell r="T7">
            <v>2</v>
          </cell>
          <cell r="U7">
            <v>2</v>
          </cell>
          <cell r="V7">
            <v>2</v>
          </cell>
          <cell r="W7">
            <v>1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>
            <v>1</v>
          </cell>
          <cell r="AC7">
            <v>1</v>
          </cell>
          <cell r="AD7">
            <v>1</v>
          </cell>
          <cell r="AE7">
            <v>1</v>
          </cell>
          <cell r="AF7">
            <v>1</v>
          </cell>
          <cell r="AG7">
            <v>2</v>
          </cell>
          <cell r="AH7">
            <v>2</v>
          </cell>
          <cell r="AI7">
            <v>2</v>
          </cell>
          <cell r="AJ7">
            <v>2</v>
          </cell>
          <cell r="AK7">
            <v>2</v>
          </cell>
          <cell r="AL7">
            <v>1</v>
          </cell>
          <cell r="AM7">
            <v>1</v>
          </cell>
          <cell r="AN7">
            <v>3</v>
          </cell>
          <cell r="AO7" t="str">
            <v>Check!</v>
          </cell>
          <cell r="AP7">
            <v>1</v>
          </cell>
          <cell r="AQ7">
            <v>1</v>
          </cell>
          <cell r="AR7">
            <v>1</v>
          </cell>
          <cell r="AS7">
            <v>1</v>
          </cell>
        </row>
        <row r="8">
          <cell r="A8" t="str">
            <v>PA80</v>
          </cell>
          <cell r="B8">
            <v>1</v>
          </cell>
          <cell r="C8">
            <v>1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2</v>
          </cell>
          <cell r="I8">
            <v>2</v>
          </cell>
          <cell r="J8">
            <v>2</v>
          </cell>
          <cell r="K8">
            <v>2</v>
          </cell>
          <cell r="L8">
            <v>2</v>
          </cell>
          <cell r="M8">
            <v>2</v>
          </cell>
          <cell r="N8">
            <v>2</v>
          </cell>
          <cell r="O8">
            <v>2</v>
          </cell>
          <cell r="P8">
            <v>2</v>
          </cell>
          <cell r="Q8">
            <v>2</v>
          </cell>
          <cell r="R8">
            <v>2</v>
          </cell>
          <cell r="S8">
            <v>2</v>
          </cell>
          <cell r="T8">
            <v>2</v>
          </cell>
          <cell r="U8">
            <v>2</v>
          </cell>
          <cell r="V8">
            <v>2</v>
          </cell>
          <cell r="W8">
            <v>1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>
            <v>1</v>
          </cell>
          <cell r="AC8">
            <v>1</v>
          </cell>
          <cell r="AD8">
            <v>1</v>
          </cell>
          <cell r="AE8">
            <v>1</v>
          </cell>
          <cell r="AF8">
            <v>1</v>
          </cell>
          <cell r="AG8">
            <v>2</v>
          </cell>
          <cell r="AH8">
            <v>2</v>
          </cell>
          <cell r="AI8">
            <v>2</v>
          </cell>
          <cell r="AJ8">
            <v>2</v>
          </cell>
          <cell r="AK8">
            <v>2</v>
          </cell>
          <cell r="AL8">
            <v>1</v>
          </cell>
          <cell r="AM8">
            <v>1</v>
          </cell>
          <cell r="AN8">
            <v>3</v>
          </cell>
          <cell r="AO8" t="str">
            <v>Check!</v>
          </cell>
          <cell r="AP8">
            <v>1</v>
          </cell>
          <cell r="AQ8">
            <v>1</v>
          </cell>
          <cell r="AR8">
            <v>1</v>
          </cell>
          <cell r="AS8">
            <v>1</v>
          </cell>
        </row>
        <row r="9">
          <cell r="A9" t="str">
            <v>PB I 5</v>
          </cell>
          <cell r="B9">
            <v>1</v>
          </cell>
          <cell r="C9">
            <v>2</v>
          </cell>
          <cell r="D9">
            <v>2</v>
          </cell>
          <cell r="E9">
            <v>2</v>
          </cell>
          <cell r="F9">
            <v>2</v>
          </cell>
          <cell r="G9">
            <v>2</v>
          </cell>
          <cell r="H9">
            <v>2</v>
          </cell>
          <cell r="I9">
            <v>3</v>
          </cell>
          <cell r="J9">
            <v>2</v>
          </cell>
          <cell r="K9">
            <v>3</v>
          </cell>
          <cell r="L9">
            <v>2</v>
          </cell>
          <cell r="M9">
            <v>3</v>
          </cell>
          <cell r="N9">
            <v>2</v>
          </cell>
          <cell r="O9">
            <v>3</v>
          </cell>
          <cell r="P9">
            <v>2</v>
          </cell>
          <cell r="Q9">
            <v>3</v>
          </cell>
          <cell r="R9">
            <v>3</v>
          </cell>
          <cell r="S9">
            <v>3</v>
          </cell>
          <cell r="T9">
            <v>3</v>
          </cell>
          <cell r="U9">
            <v>3</v>
          </cell>
          <cell r="V9">
            <v>3</v>
          </cell>
          <cell r="W9">
            <v>2</v>
          </cell>
          <cell r="X9">
            <v>2</v>
          </cell>
          <cell r="Y9">
            <v>2</v>
          </cell>
          <cell r="Z9">
            <v>2</v>
          </cell>
          <cell r="AA9">
            <v>2</v>
          </cell>
          <cell r="AB9">
            <v>2</v>
          </cell>
          <cell r="AC9">
            <v>2</v>
          </cell>
          <cell r="AD9">
            <v>2</v>
          </cell>
          <cell r="AE9">
            <v>2</v>
          </cell>
          <cell r="AF9">
            <v>2</v>
          </cell>
          <cell r="AG9">
            <v>3</v>
          </cell>
          <cell r="AH9">
            <v>3</v>
          </cell>
          <cell r="AI9">
            <v>3</v>
          </cell>
          <cell r="AJ9">
            <v>3</v>
          </cell>
          <cell r="AK9">
            <v>3</v>
          </cell>
          <cell r="AL9">
            <v>1</v>
          </cell>
          <cell r="AM9">
            <v>1</v>
          </cell>
          <cell r="AN9">
            <v>3</v>
          </cell>
          <cell r="AO9" t="str">
            <v>Check!</v>
          </cell>
          <cell r="AP9" t="str">
            <v>Check!</v>
          </cell>
          <cell r="AQ9" t="str">
            <v>Check!</v>
          </cell>
          <cell r="AR9" t="str">
            <v>Check!</v>
          </cell>
          <cell r="AS9" t="str">
            <v>Check!</v>
          </cell>
        </row>
        <row r="10">
          <cell r="A10" t="str">
            <v>PB H 5</v>
          </cell>
          <cell r="B10">
            <v>1</v>
          </cell>
          <cell r="C10">
            <v>2</v>
          </cell>
          <cell r="D10">
            <v>2</v>
          </cell>
          <cell r="E10">
            <v>2</v>
          </cell>
          <cell r="F10">
            <v>2</v>
          </cell>
          <cell r="G10">
            <v>2</v>
          </cell>
          <cell r="H10">
            <v>3</v>
          </cell>
          <cell r="I10">
            <v>3</v>
          </cell>
          <cell r="J10">
            <v>3</v>
          </cell>
          <cell r="K10">
            <v>3</v>
          </cell>
          <cell r="L10">
            <v>3</v>
          </cell>
          <cell r="M10">
            <v>3</v>
          </cell>
          <cell r="N10">
            <v>3</v>
          </cell>
          <cell r="O10">
            <v>3</v>
          </cell>
          <cell r="P10">
            <v>3</v>
          </cell>
          <cell r="Q10">
            <v>3</v>
          </cell>
          <cell r="R10">
            <v>3</v>
          </cell>
          <cell r="S10">
            <v>3</v>
          </cell>
          <cell r="T10">
            <v>3</v>
          </cell>
          <cell r="U10">
            <v>3</v>
          </cell>
          <cell r="V10">
            <v>3</v>
          </cell>
          <cell r="W10">
            <v>2</v>
          </cell>
          <cell r="X10">
            <v>2</v>
          </cell>
          <cell r="Y10">
            <v>2</v>
          </cell>
          <cell r="Z10">
            <v>2</v>
          </cell>
          <cell r="AA10">
            <v>2</v>
          </cell>
          <cell r="AB10">
            <v>2</v>
          </cell>
          <cell r="AC10">
            <v>2</v>
          </cell>
          <cell r="AD10">
            <v>2</v>
          </cell>
          <cell r="AE10">
            <v>2</v>
          </cell>
          <cell r="AF10">
            <v>2</v>
          </cell>
          <cell r="AG10">
            <v>3</v>
          </cell>
          <cell r="AH10">
            <v>3</v>
          </cell>
          <cell r="AI10">
            <v>3</v>
          </cell>
          <cell r="AJ10">
            <v>3</v>
          </cell>
          <cell r="AK10">
            <v>3</v>
          </cell>
          <cell r="AL10">
            <v>1</v>
          </cell>
          <cell r="AM10">
            <v>1</v>
          </cell>
          <cell r="AN10">
            <v>3</v>
          </cell>
          <cell r="AO10" t="str">
            <v>Check!</v>
          </cell>
          <cell r="AP10" t="str">
            <v>Check!</v>
          </cell>
          <cell r="AQ10" t="str">
            <v>Check!</v>
          </cell>
          <cell r="AR10" t="str">
            <v>Check!</v>
          </cell>
          <cell r="AS10" t="str">
            <v>Check!</v>
          </cell>
        </row>
        <row r="11">
          <cell r="A11" t="str">
            <v>PB I 15</v>
          </cell>
          <cell r="B11">
            <v>1</v>
          </cell>
          <cell r="C11">
            <v>2</v>
          </cell>
          <cell r="D11">
            <v>2</v>
          </cell>
          <cell r="E11">
            <v>2</v>
          </cell>
          <cell r="F11">
            <v>2</v>
          </cell>
          <cell r="G11">
            <v>2</v>
          </cell>
          <cell r="H11">
            <v>2</v>
          </cell>
          <cell r="I11">
            <v>3</v>
          </cell>
          <cell r="J11">
            <v>2</v>
          </cell>
          <cell r="K11">
            <v>3</v>
          </cell>
          <cell r="L11">
            <v>2</v>
          </cell>
          <cell r="M11">
            <v>3</v>
          </cell>
          <cell r="N11">
            <v>2</v>
          </cell>
          <cell r="O11">
            <v>3</v>
          </cell>
          <cell r="P11">
            <v>2</v>
          </cell>
          <cell r="Q11">
            <v>3</v>
          </cell>
          <cell r="R11">
            <v>3</v>
          </cell>
          <cell r="S11">
            <v>3</v>
          </cell>
          <cell r="T11">
            <v>3</v>
          </cell>
          <cell r="U11">
            <v>3</v>
          </cell>
          <cell r="V11">
            <v>3</v>
          </cell>
          <cell r="W11">
            <v>2</v>
          </cell>
          <cell r="X11">
            <v>2</v>
          </cell>
          <cell r="Y11">
            <v>2</v>
          </cell>
          <cell r="Z11">
            <v>2</v>
          </cell>
          <cell r="AA11">
            <v>2</v>
          </cell>
          <cell r="AB11">
            <v>2</v>
          </cell>
          <cell r="AC11">
            <v>2</v>
          </cell>
          <cell r="AD11">
            <v>2</v>
          </cell>
          <cell r="AE11">
            <v>2</v>
          </cell>
          <cell r="AF11">
            <v>2</v>
          </cell>
          <cell r="AG11">
            <v>3</v>
          </cell>
          <cell r="AH11">
            <v>3</v>
          </cell>
          <cell r="AI11">
            <v>3</v>
          </cell>
          <cell r="AJ11">
            <v>3</v>
          </cell>
          <cell r="AK11">
            <v>3</v>
          </cell>
          <cell r="AL11">
            <v>1</v>
          </cell>
          <cell r="AM11">
            <v>1</v>
          </cell>
          <cell r="AN11">
            <v>3</v>
          </cell>
          <cell r="AO11" t="str">
            <v>Check!</v>
          </cell>
          <cell r="AP11" t="str">
            <v>Check!</v>
          </cell>
          <cell r="AQ11" t="str">
            <v>Check!</v>
          </cell>
          <cell r="AR11" t="str">
            <v>Check!</v>
          </cell>
          <cell r="AS11" t="str">
            <v>Check!</v>
          </cell>
        </row>
        <row r="12">
          <cell r="A12" t="str">
            <v>PB H 15</v>
          </cell>
          <cell r="B12">
            <v>1</v>
          </cell>
          <cell r="C12">
            <v>2</v>
          </cell>
          <cell r="D12">
            <v>2</v>
          </cell>
          <cell r="E12">
            <v>2</v>
          </cell>
          <cell r="F12">
            <v>2</v>
          </cell>
          <cell r="G12">
            <v>2</v>
          </cell>
          <cell r="H12">
            <v>3</v>
          </cell>
          <cell r="I12">
            <v>3</v>
          </cell>
          <cell r="J12">
            <v>3</v>
          </cell>
          <cell r="K12">
            <v>3</v>
          </cell>
          <cell r="L12">
            <v>3</v>
          </cell>
          <cell r="M12">
            <v>3</v>
          </cell>
          <cell r="N12">
            <v>3</v>
          </cell>
          <cell r="O12">
            <v>3</v>
          </cell>
          <cell r="P12">
            <v>3</v>
          </cell>
          <cell r="Q12">
            <v>3</v>
          </cell>
          <cell r="R12">
            <v>3</v>
          </cell>
          <cell r="S12">
            <v>3</v>
          </cell>
          <cell r="T12">
            <v>3</v>
          </cell>
          <cell r="U12">
            <v>3</v>
          </cell>
          <cell r="V12">
            <v>3</v>
          </cell>
          <cell r="W12">
            <v>2</v>
          </cell>
          <cell r="X12">
            <v>2</v>
          </cell>
          <cell r="Y12">
            <v>2</v>
          </cell>
          <cell r="Z12">
            <v>2</v>
          </cell>
          <cell r="AA12">
            <v>2</v>
          </cell>
          <cell r="AB12">
            <v>2</v>
          </cell>
          <cell r="AC12">
            <v>2</v>
          </cell>
          <cell r="AD12">
            <v>2</v>
          </cell>
          <cell r="AE12">
            <v>2</v>
          </cell>
          <cell r="AF12">
            <v>2</v>
          </cell>
          <cell r="AG12">
            <v>3</v>
          </cell>
          <cell r="AH12">
            <v>3</v>
          </cell>
          <cell r="AI12">
            <v>3</v>
          </cell>
          <cell r="AJ12">
            <v>3</v>
          </cell>
          <cell r="AK12">
            <v>3</v>
          </cell>
          <cell r="AL12">
            <v>1</v>
          </cell>
          <cell r="AM12">
            <v>1</v>
          </cell>
          <cell r="AN12">
            <v>3</v>
          </cell>
          <cell r="AO12" t="str">
            <v>Check!</v>
          </cell>
          <cell r="AP12" t="str">
            <v>Check!</v>
          </cell>
          <cell r="AQ12" t="str">
            <v>Check!</v>
          </cell>
          <cell r="AR12" t="str">
            <v>Check!</v>
          </cell>
          <cell r="AS12" t="str">
            <v>Check!</v>
          </cell>
        </row>
        <row r="13">
          <cell r="A13" t="str">
            <v>PB I 30</v>
          </cell>
          <cell r="B13">
            <v>1</v>
          </cell>
          <cell r="C13">
            <v>2</v>
          </cell>
          <cell r="D13">
            <v>2</v>
          </cell>
          <cell r="E13">
            <v>2</v>
          </cell>
          <cell r="F13">
            <v>2</v>
          </cell>
          <cell r="G13">
            <v>2</v>
          </cell>
          <cell r="H13">
            <v>2</v>
          </cell>
          <cell r="I13">
            <v>3</v>
          </cell>
          <cell r="J13">
            <v>2</v>
          </cell>
          <cell r="K13">
            <v>3</v>
          </cell>
          <cell r="L13">
            <v>2</v>
          </cell>
          <cell r="M13">
            <v>3</v>
          </cell>
          <cell r="N13">
            <v>2</v>
          </cell>
          <cell r="O13">
            <v>3</v>
          </cell>
          <cell r="P13">
            <v>2</v>
          </cell>
          <cell r="Q13">
            <v>3</v>
          </cell>
          <cell r="R13">
            <v>3</v>
          </cell>
          <cell r="S13">
            <v>3</v>
          </cell>
          <cell r="T13">
            <v>3</v>
          </cell>
          <cell r="U13">
            <v>3</v>
          </cell>
          <cell r="V13">
            <v>3</v>
          </cell>
          <cell r="W13">
            <v>2</v>
          </cell>
          <cell r="X13">
            <v>2</v>
          </cell>
          <cell r="Y13">
            <v>2</v>
          </cell>
          <cell r="Z13">
            <v>2</v>
          </cell>
          <cell r="AA13">
            <v>2</v>
          </cell>
          <cell r="AB13">
            <v>2</v>
          </cell>
          <cell r="AC13">
            <v>2</v>
          </cell>
          <cell r="AD13">
            <v>2</v>
          </cell>
          <cell r="AE13">
            <v>2</v>
          </cell>
          <cell r="AF13">
            <v>2</v>
          </cell>
          <cell r="AG13">
            <v>3</v>
          </cell>
          <cell r="AH13">
            <v>3</v>
          </cell>
          <cell r="AI13">
            <v>3</v>
          </cell>
          <cell r="AJ13">
            <v>3</v>
          </cell>
          <cell r="AK13">
            <v>3</v>
          </cell>
          <cell r="AL13">
            <v>1</v>
          </cell>
          <cell r="AM13">
            <v>1</v>
          </cell>
          <cell r="AN13">
            <v>3</v>
          </cell>
          <cell r="AO13" t="str">
            <v>Check!</v>
          </cell>
          <cell r="AP13" t="str">
            <v>Check!</v>
          </cell>
          <cell r="AQ13" t="str">
            <v>Check!</v>
          </cell>
          <cell r="AR13" t="str">
            <v>Check!</v>
          </cell>
          <cell r="AS13" t="str">
            <v>Check!</v>
          </cell>
        </row>
        <row r="14">
          <cell r="A14" t="str">
            <v>PB H 30</v>
          </cell>
          <cell r="B14">
            <v>1</v>
          </cell>
          <cell r="C14">
            <v>2</v>
          </cell>
          <cell r="D14">
            <v>2</v>
          </cell>
          <cell r="E14">
            <v>2</v>
          </cell>
          <cell r="F14">
            <v>2</v>
          </cell>
          <cell r="G14">
            <v>2</v>
          </cell>
          <cell r="H14">
            <v>3</v>
          </cell>
          <cell r="I14">
            <v>3</v>
          </cell>
          <cell r="J14">
            <v>3</v>
          </cell>
          <cell r="K14">
            <v>3</v>
          </cell>
          <cell r="L14">
            <v>3</v>
          </cell>
          <cell r="M14">
            <v>3</v>
          </cell>
          <cell r="N14">
            <v>3</v>
          </cell>
          <cell r="O14">
            <v>3</v>
          </cell>
          <cell r="P14">
            <v>3</v>
          </cell>
          <cell r="Q14">
            <v>3</v>
          </cell>
          <cell r="R14">
            <v>3</v>
          </cell>
          <cell r="S14">
            <v>3</v>
          </cell>
          <cell r="T14">
            <v>3</v>
          </cell>
          <cell r="U14">
            <v>3</v>
          </cell>
          <cell r="V14">
            <v>3</v>
          </cell>
          <cell r="W14">
            <v>2</v>
          </cell>
          <cell r="X14">
            <v>2</v>
          </cell>
          <cell r="Y14">
            <v>2</v>
          </cell>
          <cell r="Z14">
            <v>2</v>
          </cell>
          <cell r="AA14">
            <v>2</v>
          </cell>
          <cell r="AB14">
            <v>2</v>
          </cell>
          <cell r="AC14">
            <v>2</v>
          </cell>
          <cell r="AD14">
            <v>2</v>
          </cell>
          <cell r="AE14">
            <v>2</v>
          </cell>
          <cell r="AF14">
            <v>2</v>
          </cell>
          <cell r="AG14">
            <v>3</v>
          </cell>
          <cell r="AH14">
            <v>3</v>
          </cell>
          <cell r="AI14">
            <v>3</v>
          </cell>
          <cell r="AJ14">
            <v>3</v>
          </cell>
          <cell r="AK14">
            <v>3</v>
          </cell>
          <cell r="AL14">
            <v>1</v>
          </cell>
          <cell r="AM14">
            <v>1</v>
          </cell>
          <cell r="AN14">
            <v>3</v>
          </cell>
          <cell r="AO14" t="str">
            <v>Check!</v>
          </cell>
          <cell r="AP14" t="str">
            <v>Check!</v>
          </cell>
          <cell r="AQ14" t="str">
            <v>Check!</v>
          </cell>
          <cell r="AR14" t="str">
            <v>Check!</v>
          </cell>
          <cell r="AS14" t="str">
            <v>Check!</v>
          </cell>
        </row>
        <row r="15">
          <cell r="A15" t="str">
            <v>PB I 45</v>
          </cell>
          <cell r="B15">
            <v>1</v>
          </cell>
          <cell r="C15">
            <v>2</v>
          </cell>
          <cell r="D15">
            <v>2</v>
          </cell>
          <cell r="E15">
            <v>2</v>
          </cell>
          <cell r="F15">
            <v>2</v>
          </cell>
          <cell r="G15">
            <v>2</v>
          </cell>
          <cell r="H15">
            <v>2</v>
          </cell>
          <cell r="I15">
            <v>3</v>
          </cell>
          <cell r="J15">
            <v>2</v>
          </cell>
          <cell r="K15">
            <v>3</v>
          </cell>
          <cell r="L15">
            <v>2</v>
          </cell>
          <cell r="M15">
            <v>3</v>
          </cell>
          <cell r="N15">
            <v>2</v>
          </cell>
          <cell r="O15">
            <v>3</v>
          </cell>
          <cell r="P15">
            <v>2</v>
          </cell>
          <cell r="Q15">
            <v>3</v>
          </cell>
          <cell r="R15">
            <v>3</v>
          </cell>
          <cell r="S15">
            <v>3</v>
          </cell>
          <cell r="T15">
            <v>3</v>
          </cell>
          <cell r="U15">
            <v>3</v>
          </cell>
          <cell r="V15">
            <v>3</v>
          </cell>
          <cell r="W15">
            <v>2</v>
          </cell>
          <cell r="X15">
            <v>2</v>
          </cell>
          <cell r="Y15">
            <v>2</v>
          </cell>
          <cell r="Z15">
            <v>2</v>
          </cell>
          <cell r="AA15">
            <v>2</v>
          </cell>
          <cell r="AB15">
            <v>2</v>
          </cell>
          <cell r="AC15">
            <v>2</v>
          </cell>
          <cell r="AD15">
            <v>2</v>
          </cell>
          <cell r="AE15">
            <v>2</v>
          </cell>
          <cell r="AF15">
            <v>2</v>
          </cell>
          <cell r="AG15">
            <v>3</v>
          </cell>
          <cell r="AH15">
            <v>3</v>
          </cell>
          <cell r="AI15">
            <v>3</v>
          </cell>
          <cell r="AJ15">
            <v>3</v>
          </cell>
          <cell r="AK15">
            <v>3</v>
          </cell>
          <cell r="AL15">
            <v>1</v>
          </cell>
          <cell r="AM15">
            <v>1</v>
          </cell>
          <cell r="AN15">
            <v>3</v>
          </cell>
          <cell r="AO15" t="str">
            <v>Check!</v>
          </cell>
          <cell r="AP15" t="str">
            <v>Check!</v>
          </cell>
          <cell r="AQ15" t="str">
            <v>Check!</v>
          </cell>
          <cell r="AR15" t="str">
            <v>Check!</v>
          </cell>
          <cell r="AS15" t="str">
            <v>Check!</v>
          </cell>
        </row>
        <row r="16">
          <cell r="A16" t="str">
            <v>PB H 45</v>
          </cell>
          <cell r="B16">
            <v>1</v>
          </cell>
          <cell r="C16">
            <v>2</v>
          </cell>
          <cell r="D16">
            <v>2</v>
          </cell>
          <cell r="E16">
            <v>2</v>
          </cell>
          <cell r="F16">
            <v>2</v>
          </cell>
          <cell r="G16">
            <v>2</v>
          </cell>
          <cell r="H16">
            <v>3</v>
          </cell>
          <cell r="I16">
            <v>3</v>
          </cell>
          <cell r="J16">
            <v>3</v>
          </cell>
          <cell r="K16">
            <v>3</v>
          </cell>
          <cell r="L16">
            <v>3</v>
          </cell>
          <cell r="M16">
            <v>3</v>
          </cell>
          <cell r="N16">
            <v>3</v>
          </cell>
          <cell r="O16">
            <v>3</v>
          </cell>
          <cell r="P16">
            <v>3</v>
          </cell>
          <cell r="Q16">
            <v>3</v>
          </cell>
          <cell r="R16">
            <v>3</v>
          </cell>
          <cell r="S16">
            <v>3</v>
          </cell>
          <cell r="T16">
            <v>3</v>
          </cell>
          <cell r="U16">
            <v>3</v>
          </cell>
          <cell r="V16">
            <v>3</v>
          </cell>
          <cell r="W16">
            <v>2</v>
          </cell>
          <cell r="X16">
            <v>2</v>
          </cell>
          <cell r="Y16">
            <v>2</v>
          </cell>
          <cell r="Z16">
            <v>2</v>
          </cell>
          <cell r="AA16">
            <v>2</v>
          </cell>
          <cell r="AB16">
            <v>2</v>
          </cell>
          <cell r="AC16">
            <v>2</v>
          </cell>
          <cell r="AD16">
            <v>2</v>
          </cell>
          <cell r="AE16">
            <v>2</v>
          </cell>
          <cell r="AF16">
            <v>2</v>
          </cell>
          <cell r="AG16">
            <v>3</v>
          </cell>
          <cell r="AH16">
            <v>3</v>
          </cell>
          <cell r="AI16">
            <v>3</v>
          </cell>
          <cell r="AJ16">
            <v>3</v>
          </cell>
          <cell r="AK16">
            <v>3</v>
          </cell>
          <cell r="AL16">
            <v>1</v>
          </cell>
          <cell r="AM16">
            <v>1</v>
          </cell>
          <cell r="AN16">
            <v>3</v>
          </cell>
          <cell r="AO16" t="str">
            <v>Check!</v>
          </cell>
          <cell r="AP16" t="str">
            <v>Check!</v>
          </cell>
          <cell r="AQ16" t="str">
            <v>Check!</v>
          </cell>
          <cell r="AR16" t="str">
            <v>Check!</v>
          </cell>
          <cell r="AS16" t="str">
            <v>Check!</v>
          </cell>
        </row>
        <row r="17">
          <cell r="A17" t="str">
            <v>PB I 80</v>
          </cell>
          <cell r="B17">
            <v>1</v>
          </cell>
          <cell r="C17">
            <v>2</v>
          </cell>
          <cell r="D17">
            <v>2</v>
          </cell>
          <cell r="E17">
            <v>2</v>
          </cell>
          <cell r="F17">
            <v>2</v>
          </cell>
          <cell r="G17">
            <v>2</v>
          </cell>
          <cell r="H17">
            <v>2</v>
          </cell>
          <cell r="I17">
            <v>3</v>
          </cell>
          <cell r="J17">
            <v>2</v>
          </cell>
          <cell r="K17">
            <v>3</v>
          </cell>
          <cell r="L17">
            <v>2</v>
          </cell>
          <cell r="M17">
            <v>3</v>
          </cell>
          <cell r="N17">
            <v>2</v>
          </cell>
          <cell r="O17">
            <v>3</v>
          </cell>
          <cell r="P17">
            <v>2</v>
          </cell>
          <cell r="Q17">
            <v>3</v>
          </cell>
          <cell r="R17">
            <v>3</v>
          </cell>
          <cell r="S17">
            <v>3</v>
          </cell>
          <cell r="T17">
            <v>3</v>
          </cell>
          <cell r="U17">
            <v>3</v>
          </cell>
          <cell r="V17">
            <v>3</v>
          </cell>
          <cell r="W17">
            <v>2</v>
          </cell>
          <cell r="X17">
            <v>2</v>
          </cell>
          <cell r="Y17">
            <v>2</v>
          </cell>
          <cell r="Z17">
            <v>2</v>
          </cell>
          <cell r="AA17">
            <v>2</v>
          </cell>
          <cell r="AB17">
            <v>2</v>
          </cell>
          <cell r="AC17">
            <v>2</v>
          </cell>
          <cell r="AD17">
            <v>2</v>
          </cell>
          <cell r="AE17">
            <v>2</v>
          </cell>
          <cell r="AF17">
            <v>2</v>
          </cell>
          <cell r="AG17">
            <v>3</v>
          </cell>
          <cell r="AH17">
            <v>3</v>
          </cell>
          <cell r="AI17">
            <v>3</v>
          </cell>
          <cell r="AJ17">
            <v>3</v>
          </cell>
          <cell r="AK17">
            <v>3</v>
          </cell>
          <cell r="AL17">
            <v>1</v>
          </cell>
          <cell r="AM17">
            <v>1</v>
          </cell>
          <cell r="AN17">
            <v>3</v>
          </cell>
          <cell r="AO17" t="str">
            <v>Check!</v>
          </cell>
          <cell r="AP17" t="str">
            <v>Check!</v>
          </cell>
          <cell r="AQ17" t="str">
            <v>Check!</v>
          </cell>
          <cell r="AR17" t="str">
            <v>Check!</v>
          </cell>
          <cell r="AS17" t="str">
            <v>Check!</v>
          </cell>
        </row>
        <row r="18">
          <cell r="A18" t="str">
            <v>PB H 80</v>
          </cell>
          <cell r="B18">
            <v>1</v>
          </cell>
          <cell r="C18">
            <v>2</v>
          </cell>
          <cell r="D18">
            <v>2</v>
          </cell>
          <cell r="E18">
            <v>2</v>
          </cell>
          <cell r="F18">
            <v>2</v>
          </cell>
          <cell r="G18">
            <v>2</v>
          </cell>
          <cell r="H18">
            <v>3</v>
          </cell>
          <cell r="I18">
            <v>3</v>
          </cell>
          <cell r="J18">
            <v>3</v>
          </cell>
          <cell r="K18">
            <v>3</v>
          </cell>
          <cell r="L18">
            <v>3</v>
          </cell>
          <cell r="M18">
            <v>3</v>
          </cell>
          <cell r="N18">
            <v>3</v>
          </cell>
          <cell r="O18">
            <v>3</v>
          </cell>
          <cell r="P18">
            <v>3</v>
          </cell>
          <cell r="Q18">
            <v>3</v>
          </cell>
          <cell r="R18">
            <v>3</v>
          </cell>
          <cell r="S18">
            <v>3</v>
          </cell>
          <cell r="T18">
            <v>3</v>
          </cell>
          <cell r="U18">
            <v>3</v>
          </cell>
          <cell r="V18">
            <v>3</v>
          </cell>
          <cell r="W18">
            <v>2</v>
          </cell>
          <cell r="X18">
            <v>2</v>
          </cell>
          <cell r="Y18">
            <v>2</v>
          </cell>
          <cell r="Z18">
            <v>2</v>
          </cell>
          <cell r="AA18">
            <v>2</v>
          </cell>
          <cell r="AB18">
            <v>2</v>
          </cell>
          <cell r="AC18">
            <v>2</v>
          </cell>
          <cell r="AD18">
            <v>2</v>
          </cell>
          <cell r="AE18">
            <v>2</v>
          </cell>
          <cell r="AF18">
            <v>2</v>
          </cell>
          <cell r="AG18">
            <v>3</v>
          </cell>
          <cell r="AH18">
            <v>3</v>
          </cell>
          <cell r="AI18">
            <v>3</v>
          </cell>
          <cell r="AJ18">
            <v>3</v>
          </cell>
          <cell r="AK18">
            <v>3</v>
          </cell>
          <cell r="AL18">
            <v>1</v>
          </cell>
          <cell r="AM18">
            <v>1</v>
          </cell>
          <cell r="AN18">
            <v>3</v>
          </cell>
          <cell r="AO18" t="str">
            <v>Check!</v>
          </cell>
          <cell r="AP18" t="str">
            <v>Check!</v>
          </cell>
          <cell r="AQ18" t="str">
            <v>Check!</v>
          </cell>
          <cell r="AR18" t="str">
            <v>Check!</v>
          </cell>
          <cell r="AS18" t="str">
            <v>Check!</v>
          </cell>
        </row>
        <row r="19">
          <cell r="A19" t="str">
            <v>PC5</v>
          </cell>
          <cell r="B19">
            <v>1</v>
          </cell>
          <cell r="C19">
            <v>2</v>
          </cell>
          <cell r="D19">
            <v>2</v>
          </cell>
          <cell r="E19">
            <v>2</v>
          </cell>
          <cell r="F19">
            <v>2</v>
          </cell>
          <cell r="G19">
            <v>2</v>
          </cell>
          <cell r="H19">
            <v>3</v>
          </cell>
          <cell r="I19">
            <v>3</v>
          </cell>
          <cell r="J19">
            <v>3</v>
          </cell>
          <cell r="K19">
            <v>3</v>
          </cell>
          <cell r="L19">
            <v>3</v>
          </cell>
          <cell r="M19">
            <v>3</v>
          </cell>
          <cell r="N19">
            <v>3</v>
          </cell>
          <cell r="O19">
            <v>3</v>
          </cell>
          <cell r="P19">
            <v>3</v>
          </cell>
          <cell r="Q19">
            <v>3</v>
          </cell>
          <cell r="R19">
            <v>3</v>
          </cell>
          <cell r="S19">
            <v>3</v>
          </cell>
          <cell r="T19">
            <v>3</v>
          </cell>
          <cell r="U19">
            <v>3</v>
          </cell>
          <cell r="V19">
            <v>3</v>
          </cell>
          <cell r="W19">
            <v>2</v>
          </cell>
          <cell r="X19">
            <v>2</v>
          </cell>
          <cell r="Y19">
            <v>2</v>
          </cell>
          <cell r="Z19">
            <v>2</v>
          </cell>
          <cell r="AA19">
            <v>2</v>
          </cell>
          <cell r="AB19">
            <v>3</v>
          </cell>
          <cell r="AC19">
            <v>3</v>
          </cell>
          <cell r="AD19">
            <v>3</v>
          </cell>
          <cell r="AE19">
            <v>3</v>
          </cell>
          <cell r="AF19">
            <v>3</v>
          </cell>
          <cell r="AG19">
            <v>3</v>
          </cell>
          <cell r="AH19">
            <v>3</v>
          </cell>
          <cell r="AI19">
            <v>3</v>
          </cell>
          <cell r="AJ19">
            <v>3</v>
          </cell>
          <cell r="AK19">
            <v>3</v>
          </cell>
          <cell r="AL19">
            <v>1</v>
          </cell>
          <cell r="AM19">
            <v>1</v>
          </cell>
          <cell r="AN19">
            <v>3</v>
          </cell>
          <cell r="AO19" t="str">
            <v>Check!</v>
          </cell>
          <cell r="AP19" t="str">
            <v>Check!</v>
          </cell>
          <cell r="AQ19" t="str">
            <v>Check!</v>
          </cell>
          <cell r="AR19" t="str">
            <v>Check!</v>
          </cell>
          <cell r="AS19" t="str">
            <v>Check!</v>
          </cell>
        </row>
        <row r="20">
          <cell r="A20" t="str">
            <v>PC15</v>
          </cell>
          <cell r="B20">
            <v>1</v>
          </cell>
          <cell r="C20">
            <v>2</v>
          </cell>
          <cell r="D20">
            <v>2</v>
          </cell>
          <cell r="E20">
            <v>2</v>
          </cell>
          <cell r="F20">
            <v>2</v>
          </cell>
          <cell r="G20">
            <v>2</v>
          </cell>
          <cell r="H20">
            <v>3</v>
          </cell>
          <cell r="I20">
            <v>3</v>
          </cell>
          <cell r="J20">
            <v>3</v>
          </cell>
          <cell r="K20">
            <v>3</v>
          </cell>
          <cell r="L20">
            <v>3</v>
          </cell>
          <cell r="M20">
            <v>3</v>
          </cell>
          <cell r="N20">
            <v>3</v>
          </cell>
          <cell r="O20">
            <v>3</v>
          </cell>
          <cell r="P20">
            <v>3</v>
          </cell>
          <cell r="Q20">
            <v>3</v>
          </cell>
          <cell r="R20">
            <v>3</v>
          </cell>
          <cell r="S20">
            <v>3</v>
          </cell>
          <cell r="T20">
            <v>3</v>
          </cell>
          <cell r="U20">
            <v>3</v>
          </cell>
          <cell r="V20">
            <v>3</v>
          </cell>
          <cell r="W20">
            <v>2</v>
          </cell>
          <cell r="X20">
            <v>2</v>
          </cell>
          <cell r="Y20">
            <v>2</v>
          </cell>
          <cell r="Z20">
            <v>2</v>
          </cell>
          <cell r="AA20">
            <v>2</v>
          </cell>
          <cell r="AB20">
            <v>3</v>
          </cell>
          <cell r="AC20">
            <v>3</v>
          </cell>
          <cell r="AD20">
            <v>3</v>
          </cell>
          <cell r="AE20">
            <v>3</v>
          </cell>
          <cell r="AF20">
            <v>3</v>
          </cell>
          <cell r="AG20">
            <v>3</v>
          </cell>
          <cell r="AH20">
            <v>3</v>
          </cell>
          <cell r="AI20">
            <v>3</v>
          </cell>
          <cell r="AJ20">
            <v>3</v>
          </cell>
          <cell r="AK20">
            <v>3</v>
          </cell>
          <cell r="AL20">
            <v>1</v>
          </cell>
          <cell r="AM20">
            <v>1</v>
          </cell>
          <cell r="AN20">
            <v>3</v>
          </cell>
          <cell r="AO20" t="str">
            <v>Check!</v>
          </cell>
          <cell r="AP20" t="str">
            <v>Check!</v>
          </cell>
          <cell r="AQ20" t="str">
            <v>Check!</v>
          </cell>
          <cell r="AR20" t="str">
            <v>Check!</v>
          </cell>
          <cell r="AS20" t="str">
            <v>Check!</v>
          </cell>
        </row>
        <row r="21">
          <cell r="A21" t="str">
            <v>PC30</v>
          </cell>
          <cell r="B21">
            <v>1</v>
          </cell>
          <cell r="C21">
            <v>2</v>
          </cell>
          <cell r="D21">
            <v>2</v>
          </cell>
          <cell r="E21">
            <v>2</v>
          </cell>
          <cell r="F21">
            <v>2</v>
          </cell>
          <cell r="G21">
            <v>2</v>
          </cell>
          <cell r="H21">
            <v>3</v>
          </cell>
          <cell r="I21">
            <v>3</v>
          </cell>
          <cell r="J21">
            <v>3</v>
          </cell>
          <cell r="K21">
            <v>3</v>
          </cell>
          <cell r="L21">
            <v>3</v>
          </cell>
          <cell r="M21">
            <v>3</v>
          </cell>
          <cell r="N21">
            <v>3</v>
          </cell>
          <cell r="O21">
            <v>3</v>
          </cell>
          <cell r="P21">
            <v>3</v>
          </cell>
          <cell r="Q21">
            <v>3</v>
          </cell>
          <cell r="R21">
            <v>3</v>
          </cell>
          <cell r="S21">
            <v>3</v>
          </cell>
          <cell r="T21">
            <v>3</v>
          </cell>
          <cell r="U21">
            <v>3</v>
          </cell>
          <cell r="V21">
            <v>3</v>
          </cell>
          <cell r="W21">
            <v>2</v>
          </cell>
          <cell r="X21">
            <v>2</v>
          </cell>
          <cell r="Y21">
            <v>2</v>
          </cell>
          <cell r="Z21">
            <v>2</v>
          </cell>
          <cell r="AA21">
            <v>2</v>
          </cell>
          <cell r="AB21">
            <v>3</v>
          </cell>
          <cell r="AC21">
            <v>3</v>
          </cell>
          <cell r="AD21">
            <v>3</v>
          </cell>
          <cell r="AE21">
            <v>3</v>
          </cell>
          <cell r="AF21">
            <v>3</v>
          </cell>
          <cell r="AG21">
            <v>3</v>
          </cell>
          <cell r="AH21">
            <v>3</v>
          </cell>
          <cell r="AI21">
            <v>3</v>
          </cell>
          <cell r="AJ21">
            <v>3</v>
          </cell>
          <cell r="AK21">
            <v>3</v>
          </cell>
          <cell r="AL21">
            <v>1</v>
          </cell>
          <cell r="AM21">
            <v>1</v>
          </cell>
          <cell r="AN21">
            <v>3</v>
          </cell>
          <cell r="AO21" t="str">
            <v>Check!</v>
          </cell>
          <cell r="AP21" t="str">
            <v>Check!</v>
          </cell>
          <cell r="AQ21" t="str">
            <v>Check!</v>
          </cell>
          <cell r="AR21" t="str">
            <v>Check!</v>
          </cell>
          <cell r="AS21" t="str">
            <v>Check!</v>
          </cell>
        </row>
        <row r="22">
          <cell r="A22" t="str">
            <v>PC45</v>
          </cell>
          <cell r="B22">
            <v>1</v>
          </cell>
          <cell r="C22">
            <v>2</v>
          </cell>
          <cell r="D22">
            <v>2</v>
          </cell>
          <cell r="E22">
            <v>2</v>
          </cell>
          <cell r="F22">
            <v>2</v>
          </cell>
          <cell r="G22">
            <v>2</v>
          </cell>
          <cell r="H22">
            <v>3</v>
          </cell>
          <cell r="I22">
            <v>3</v>
          </cell>
          <cell r="J22">
            <v>3</v>
          </cell>
          <cell r="K22">
            <v>3</v>
          </cell>
          <cell r="L22">
            <v>3</v>
          </cell>
          <cell r="M22">
            <v>3</v>
          </cell>
          <cell r="N22">
            <v>3</v>
          </cell>
          <cell r="O22">
            <v>3</v>
          </cell>
          <cell r="P22">
            <v>3</v>
          </cell>
          <cell r="Q22">
            <v>3</v>
          </cell>
          <cell r="R22">
            <v>3</v>
          </cell>
          <cell r="S22">
            <v>3</v>
          </cell>
          <cell r="T22">
            <v>3</v>
          </cell>
          <cell r="U22">
            <v>3</v>
          </cell>
          <cell r="V22">
            <v>3</v>
          </cell>
          <cell r="W22">
            <v>2</v>
          </cell>
          <cell r="X22">
            <v>2</v>
          </cell>
          <cell r="Y22">
            <v>2</v>
          </cell>
          <cell r="Z22">
            <v>2</v>
          </cell>
          <cell r="AA22">
            <v>2</v>
          </cell>
          <cell r="AB22">
            <v>3</v>
          </cell>
          <cell r="AC22">
            <v>3</v>
          </cell>
          <cell r="AD22">
            <v>3</v>
          </cell>
          <cell r="AE22">
            <v>3</v>
          </cell>
          <cell r="AF22">
            <v>3</v>
          </cell>
          <cell r="AG22">
            <v>3</v>
          </cell>
          <cell r="AH22">
            <v>3</v>
          </cell>
          <cell r="AI22">
            <v>3</v>
          </cell>
          <cell r="AJ22">
            <v>3</v>
          </cell>
          <cell r="AK22">
            <v>3</v>
          </cell>
          <cell r="AL22">
            <v>1</v>
          </cell>
          <cell r="AM22">
            <v>1</v>
          </cell>
          <cell r="AN22">
            <v>3</v>
          </cell>
          <cell r="AO22" t="str">
            <v>Check!</v>
          </cell>
          <cell r="AP22" t="str">
            <v>Check!</v>
          </cell>
          <cell r="AQ22" t="str">
            <v>Check!</v>
          </cell>
          <cell r="AR22" t="str">
            <v>Check!</v>
          </cell>
          <cell r="AS22" t="str">
            <v>Check!</v>
          </cell>
        </row>
        <row r="23">
          <cell r="A23" t="str">
            <v>PC80</v>
          </cell>
          <cell r="B23">
            <v>1</v>
          </cell>
          <cell r="C23">
            <v>2</v>
          </cell>
          <cell r="D23">
            <v>2</v>
          </cell>
          <cell r="E23">
            <v>2</v>
          </cell>
          <cell r="F23">
            <v>2</v>
          </cell>
          <cell r="G23">
            <v>2</v>
          </cell>
          <cell r="H23">
            <v>3</v>
          </cell>
          <cell r="I23">
            <v>3</v>
          </cell>
          <cell r="J23">
            <v>3</v>
          </cell>
          <cell r="K23">
            <v>3</v>
          </cell>
          <cell r="L23">
            <v>3</v>
          </cell>
          <cell r="M23">
            <v>3</v>
          </cell>
          <cell r="N23">
            <v>3</v>
          </cell>
          <cell r="O23">
            <v>3</v>
          </cell>
          <cell r="P23">
            <v>3</v>
          </cell>
          <cell r="Q23">
            <v>3</v>
          </cell>
          <cell r="R23">
            <v>3</v>
          </cell>
          <cell r="S23">
            <v>3</v>
          </cell>
          <cell r="T23">
            <v>3</v>
          </cell>
          <cell r="U23">
            <v>3</v>
          </cell>
          <cell r="V23">
            <v>3</v>
          </cell>
          <cell r="W23">
            <v>2</v>
          </cell>
          <cell r="X23">
            <v>2</v>
          </cell>
          <cell r="Y23">
            <v>2</v>
          </cell>
          <cell r="Z23">
            <v>2</v>
          </cell>
          <cell r="AA23">
            <v>2</v>
          </cell>
          <cell r="AB23">
            <v>3</v>
          </cell>
          <cell r="AC23">
            <v>3</v>
          </cell>
          <cell r="AD23">
            <v>3</v>
          </cell>
          <cell r="AE23">
            <v>3</v>
          </cell>
          <cell r="AF23">
            <v>3</v>
          </cell>
          <cell r="AG23">
            <v>3</v>
          </cell>
          <cell r="AH23">
            <v>3</v>
          </cell>
          <cell r="AI23">
            <v>3</v>
          </cell>
          <cell r="AJ23">
            <v>3</v>
          </cell>
          <cell r="AK23">
            <v>3</v>
          </cell>
          <cell r="AL23">
            <v>1</v>
          </cell>
          <cell r="AM23">
            <v>1</v>
          </cell>
          <cell r="AN23">
            <v>3</v>
          </cell>
          <cell r="AO23" t="str">
            <v>Check!</v>
          </cell>
          <cell r="AP23" t="str">
            <v>Check!</v>
          </cell>
          <cell r="AQ23" t="str">
            <v>Check!</v>
          </cell>
          <cell r="AR23" t="str">
            <v>Check!</v>
          </cell>
          <cell r="AS23" t="str">
            <v>Check!</v>
          </cell>
        </row>
        <row r="24">
          <cell r="A24" t="str">
            <v>GA5</v>
          </cell>
          <cell r="B24">
            <v>1</v>
          </cell>
          <cell r="C24">
            <v>1</v>
          </cell>
          <cell r="D24">
            <v>1</v>
          </cell>
          <cell r="E24">
            <v>1</v>
          </cell>
          <cell r="F24">
            <v>1</v>
          </cell>
          <cell r="G24">
            <v>1</v>
          </cell>
          <cell r="H24">
            <v>2</v>
          </cell>
          <cell r="I24">
            <v>2</v>
          </cell>
          <cell r="J24">
            <v>2</v>
          </cell>
          <cell r="K24">
            <v>2</v>
          </cell>
          <cell r="L24">
            <v>2</v>
          </cell>
          <cell r="M24">
            <v>2</v>
          </cell>
          <cell r="N24">
            <v>2</v>
          </cell>
          <cell r="O24">
            <v>2</v>
          </cell>
          <cell r="P24">
            <v>2</v>
          </cell>
          <cell r="Q24">
            <v>2</v>
          </cell>
          <cell r="R24">
            <v>2</v>
          </cell>
          <cell r="S24">
            <v>2</v>
          </cell>
          <cell r="T24">
            <v>2</v>
          </cell>
          <cell r="U24">
            <v>2</v>
          </cell>
          <cell r="V24">
            <v>2</v>
          </cell>
          <cell r="W24">
            <v>1</v>
          </cell>
          <cell r="X24">
            <v>1</v>
          </cell>
          <cell r="Y24">
            <v>1</v>
          </cell>
          <cell r="Z24">
            <v>1</v>
          </cell>
          <cell r="AA24">
            <v>1</v>
          </cell>
          <cell r="AB24">
            <v>1</v>
          </cell>
          <cell r="AC24">
            <v>1</v>
          </cell>
          <cell r="AD24">
            <v>1</v>
          </cell>
          <cell r="AE24">
            <v>1</v>
          </cell>
          <cell r="AF24">
            <v>1</v>
          </cell>
          <cell r="AG24">
            <v>1</v>
          </cell>
          <cell r="AH24">
            <v>1</v>
          </cell>
          <cell r="AI24">
            <v>1</v>
          </cell>
          <cell r="AJ24">
            <v>1</v>
          </cell>
          <cell r="AK24">
            <v>1</v>
          </cell>
          <cell r="AL24">
            <v>1</v>
          </cell>
          <cell r="AM24">
            <v>1</v>
          </cell>
          <cell r="AN24">
            <v>3</v>
          </cell>
          <cell r="AO24" t="str">
            <v>Check!</v>
          </cell>
          <cell r="AP24">
            <v>1</v>
          </cell>
          <cell r="AQ24">
            <v>1</v>
          </cell>
          <cell r="AR24">
            <v>1</v>
          </cell>
          <cell r="AS24">
            <v>1</v>
          </cell>
        </row>
        <row r="25">
          <cell r="A25" t="str">
            <v>GA15</v>
          </cell>
          <cell r="B25">
            <v>1</v>
          </cell>
          <cell r="C25">
            <v>1</v>
          </cell>
          <cell r="D25">
            <v>1</v>
          </cell>
          <cell r="E25">
            <v>1</v>
          </cell>
          <cell r="F25">
            <v>1</v>
          </cell>
          <cell r="G25">
            <v>1</v>
          </cell>
          <cell r="H25">
            <v>2</v>
          </cell>
          <cell r="I25">
            <v>2</v>
          </cell>
          <cell r="J25">
            <v>2</v>
          </cell>
          <cell r="K25">
            <v>2</v>
          </cell>
          <cell r="L25">
            <v>2</v>
          </cell>
          <cell r="M25">
            <v>2</v>
          </cell>
          <cell r="N25">
            <v>2</v>
          </cell>
          <cell r="O25">
            <v>2</v>
          </cell>
          <cell r="P25">
            <v>2</v>
          </cell>
          <cell r="Q25">
            <v>2</v>
          </cell>
          <cell r="R25">
            <v>2</v>
          </cell>
          <cell r="S25">
            <v>2</v>
          </cell>
          <cell r="T25">
            <v>2</v>
          </cell>
          <cell r="U25">
            <v>2</v>
          </cell>
          <cell r="V25">
            <v>2</v>
          </cell>
          <cell r="W25">
            <v>1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>
            <v>1</v>
          </cell>
          <cell r="AC25">
            <v>1</v>
          </cell>
          <cell r="AD25">
            <v>1</v>
          </cell>
          <cell r="AE25">
            <v>1</v>
          </cell>
          <cell r="AF25">
            <v>1</v>
          </cell>
          <cell r="AG25">
            <v>1</v>
          </cell>
          <cell r="AH25">
            <v>1</v>
          </cell>
          <cell r="AI25">
            <v>1</v>
          </cell>
          <cell r="AJ25">
            <v>1</v>
          </cell>
          <cell r="AK25">
            <v>1</v>
          </cell>
          <cell r="AL25">
            <v>1</v>
          </cell>
          <cell r="AM25">
            <v>1</v>
          </cell>
          <cell r="AN25">
            <v>3</v>
          </cell>
          <cell r="AO25" t="str">
            <v>Check!</v>
          </cell>
          <cell r="AP25">
            <v>1</v>
          </cell>
          <cell r="AQ25">
            <v>1</v>
          </cell>
          <cell r="AR25">
            <v>1</v>
          </cell>
          <cell r="AS25">
            <v>1</v>
          </cell>
        </row>
        <row r="26">
          <cell r="A26" t="str">
            <v>GA30</v>
          </cell>
          <cell r="B26">
            <v>1</v>
          </cell>
          <cell r="C26">
            <v>1</v>
          </cell>
          <cell r="D26">
            <v>1</v>
          </cell>
          <cell r="E26">
            <v>1</v>
          </cell>
          <cell r="F26">
            <v>1</v>
          </cell>
          <cell r="G26">
            <v>1</v>
          </cell>
          <cell r="H26">
            <v>2</v>
          </cell>
          <cell r="I26">
            <v>2</v>
          </cell>
          <cell r="J26">
            <v>2</v>
          </cell>
          <cell r="K26">
            <v>2</v>
          </cell>
          <cell r="L26">
            <v>2</v>
          </cell>
          <cell r="M26">
            <v>2</v>
          </cell>
          <cell r="N26">
            <v>2</v>
          </cell>
          <cell r="O26">
            <v>2</v>
          </cell>
          <cell r="P26">
            <v>2</v>
          </cell>
          <cell r="Q26">
            <v>2</v>
          </cell>
          <cell r="R26">
            <v>2</v>
          </cell>
          <cell r="S26">
            <v>2</v>
          </cell>
          <cell r="T26">
            <v>2</v>
          </cell>
          <cell r="U26">
            <v>2</v>
          </cell>
          <cell r="V26">
            <v>2</v>
          </cell>
          <cell r="W26">
            <v>1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>
            <v>1</v>
          </cell>
          <cell r="AC26">
            <v>1</v>
          </cell>
          <cell r="AD26">
            <v>1</v>
          </cell>
          <cell r="AE26">
            <v>1</v>
          </cell>
          <cell r="AF26">
            <v>1</v>
          </cell>
          <cell r="AG26">
            <v>1</v>
          </cell>
          <cell r="AH26">
            <v>1</v>
          </cell>
          <cell r="AI26">
            <v>1</v>
          </cell>
          <cell r="AJ26">
            <v>1</v>
          </cell>
          <cell r="AK26">
            <v>1</v>
          </cell>
          <cell r="AL26">
            <v>1</v>
          </cell>
          <cell r="AM26">
            <v>1</v>
          </cell>
          <cell r="AN26">
            <v>3</v>
          </cell>
          <cell r="AO26" t="str">
            <v>Check!</v>
          </cell>
          <cell r="AP26">
            <v>1</v>
          </cell>
          <cell r="AQ26">
            <v>1</v>
          </cell>
          <cell r="AR26">
            <v>1</v>
          </cell>
          <cell r="AS26">
            <v>1</v>
          </cell>
        </row>
        <row r="27">
          <cell r="A27" t="str">
            <v>GA45</v>
          </cell>
          <cell r="B27">
            <v>1</v>
          </cell>
          <cell r="C27">
            <v>1</v>
          </cell>
          <cell r="D27">
            <v>1</v>
          </cell>
          <cell r="E27">
            <v>1</v>
          </cell>
          <cell r="F27">
            <v>1</v>
          </cell>
          <cell r="G27">
            <v>1</v>
          </cell>
          <cell r="H27">
            <v>2</v>
          </cell>
          <cell r="I27">
            <v>2</v>
          </cell>
          <cell r="J27">
            <v>2</v>
          </cell>
          <cell r="K27">
            <v>2</v>
          </cell>
          <cell r="L27">
            <v>2</v>
          </cell>
          <cell r="M27">
            <v>2</v>
          </cell>
          <cell r="N27">
            <v>2</v>
          </cell>
          <cell r="O27">
            <v>2</v>
          </cell>
          <cell r="P27">
            <v>2</v>
          </cell>
          <cell r="Q27">
            <v>2</v>
          </cell>
          <cell r="R27">
            <v>2</v>
          </cell>
          <cell r="S27">
            <v>2</v>
          </cell>
          <cell r="T27">
            <v>2</v>
          </cell>
          <cell r="U27">
            <v>2</v>
          </cell>
          <cell r="V27">
            <v>2</v>
          </cell>
          <cell r="W27">
            <v>1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>
            <v>1</v>
          </cell>
          <cell r="AC27">
            <v>1</v>
          </cell>
          <cell r="AD27">
            <v>1</v>
          </cell>
          <cell r="AE27">
            <v>1</v>
          </cell>
          <cell r="AF27">
            <v>1</v>
          </cell>
          <cell r="AG27">
            <v>1</v>
          </cell>
          <cell r="AH27">
            <v>1</v>
          </cell>
          <cell r="AI27">
            <v>1</v>
          </cell>
          <cell r="AJ27">
            <v>1</v>
          </cell>
          <cell r="AK27">
            <v>1</v>
          </cell>
          <cell r="AL27">
            <v>1</v>
          </cell>
          <cell r="AM27">
            <v>1</v>
          </cell>
          <cell r="AN27">
            <v>3</v>
          </cell>
          <cell r="AO27" t="str">
            <v>Check!</v>
          </cell>
          <cell r="AP27">
            <v>1</v>
          </cell>
          <cell r="AQ27">
            <v>1</v>
          </cell>
          <cell r="AR27">
            <v>1</v>
          </cell>
          <cell r="AS27">
            <v>1</v>
          </cell>
        </row>
        <row r="28">
          <cell r="A28" t="str">
            <v>GA80</v>
          </cell>
          <cell r="B28">
            <v>1</v>
          </cell>
          <cell r="C28">
            <v>1</v>
          </cell>
          <cell r="D28">
            <v>1</v>
          </cell>
          <cell r="E28">
            <v>1</v>
          </cell>
          <cell r="F28">
            <v>1</v>
          </cell>
          <cell r="G28">
            <v>1</v>
          </cell>
          <cell r="H28">
            <v>2</v>
          </cell>
          <cell r="I28">
            <v>2</v>
          </cell>
          <cell r="J28">
            <v>2</v>
          </cell>
          <cell r="K28">
            <v>2</v>
          </cell>
          <cell r="L28">
            <v>2</v>
          </cell>
          <cell r="M28">
            <v>2</v>
          </cell>
          <cell r="N28">
            <v>2</v>
          </cell>
          <cell r="O28">
            <v>2</v>
          </cell>
          <cell r="P28">
            <v>2</v>
          </cell>
          <cell r="Q28">
            <v>2</v>
          </cell>
          <cell r="R28">
            <v>2</v>
          </cell>
          <cell r="S28">
            <v>2</v>
          </cell>
          <cell r="T28">
            <v>2</v>
          </cell>
          <cell r="U28">
            <v>2</v>
          </cell>
          <cell r="V28">
            <v>2</v>
          </cell>
          <cell r="W28">
            <v>1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>
            <v>1</v>
          </cell>
          <cell r="AC28">
            <v>1</v>
          </cell>
          <cell r="AD28">
            <v>1</v>
          </cell>
          <cell r="AE28">
            <v>1</v>
          </cell>
          <cell r="AF28">
            <v>1</v>
          </cell>
          <cell r="AG28">
            <v>1</v>
          </cell>
          <cell r="AH28">
            <v>1</v>
          </cell>
          <cell r="AI28">
            <v>1</v>
          </cell>
          <cell r="AJ28">
            <v>1</v>
          </cell>
          <cell r="AK28">
            <v>1</v>
          </cell>
          <cell r="AL28">
            <v>1</v>
          </cell>
          <cell r="AM28">
            <v>1</v>
          </cell>
          <cell r="AN28">
            <v>3</v>
          </cell>
          <cell r="AO28" t="str">
            <v>Check!</v>
          </cell>
          <cell r="AP28">
            <v>1</v>
          </cell>
          <cell r="AQ28">
            <v>1</v>
          </cell>
          <cell r="AR28">
            <v>1</v>
          </cell>
          <cell r="AS28">
            <v>1</v>
          </cell>
        </row>
        <row r="29">
          <cell r="A29" t="str">
            <v>GB5</v>
          </cell>
          <cell r="B29">
            <v>1</v>
          </cell>
          <cell r="C29">
            <v>1</v>
          </cell>
          <cell r="D29">
            <v>1</v>
          </cell>
          <cell r="E29">
            <v>1</v>
          </cell>
          <cell r="F29">
            <v>1</v>
          </cell>
          <cell r="G29">
            <v>1</v>
          </cell>
          <cell r="H29">
            <v>2</v>
          </cell>
          <cell r="I29">
            <v>2</v>
          </cell>
          <cell r="J29">
            <v>2</v>
          </cell>
          <cell r="K29">
            <v>2</v>
          </cell>
          <cell r="L29">
            <v>2</v>
          </cell>
          <cell r="M29">
            <v>2</v>
          </cell>
          <cell r="N29">
            <v>2</v>
          </cell>
          <cell r="O29">
            <v>2</v>
          </cell>
          <cell r="P29">
            <v>2</v>
          </cell>
          <cell r="Q29">
            <v>2</v>
          </cell>
          <cell r="R29">
            <v>3</v>
          </cell>
          <cell r="S29">
            <v>3</v>
          </cell>
          <cell r="T29">
            <v>3</v>
          </cell>
          <cell r="U29">
            <v>3</v>
          </cell>
          <cell r="V29">
            <v>3</v>
          </cell>
          <cell r="W29">
            <v>1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>
            <v>1</v>
          </cell>
          <cell r="AC29">
            <v>1</v>
          </cell>
          <cell r="AD29">
            <v>1</v>
          </cell>
          <cell r="AE29">
            <v>1</v>
          </cell>
          <cell r="AF29">
            <v>1</v>
          </cell>
          <cell r="AG29">
            <v>1</v>
          </cell>
          <cell r="AH29">
            <v>1</v>
          </cell>
          <cell r="AI29">
            <v>1</v>
          </cell>
          <cell r="AJ29">
            <v>1</v>
          </cell>
          <cell r="AK29">
            <v>1</v>
          </cell>
          <cell r="AL29">
            <v>1</v>
          </cell>
          <cell r="AM29">
            <v>1</v>
          </cell>
          <cell r="AN29">
            <v>3</v>
          </cell>
          <cell r="AO29" t="str">
            <v>Check!</v>
          </cell>
          <cell r="AP29" t="str">
            <v>Check!</v>
          </cell>
          <cell r="AQ29" t="str">
            <v>Check!</v>
          </cell>
          <cell r="AR29" t="str">
            <v>Check!</v>
          </cell>
          <cell r="AS29" t="str">
            <v>Check!</v>
          </cell>
        </row>
        <row r="30">
          <cell r="A30" t="str">
            <v>GB15</v>
          </cell>
          <cell r="B30">
            <v>1</v>
          </cell>
          <cell r="C30">
            <v>1</v>
          </cell>
          <cell r="D30">
            <v>1</v>
          </cell>
          <cell r="E30">
            <v>1</v>
          </cell>
          <cell r="F30">
            <v>1</v>
          </cell>
          <cell r="G30">
            <v>1</v>
          </cell>
          <cell r="H30">
            <v>2</v>
          </cell>
          <cell r="I30">
            <v>2</v>
          </cell>
          <cell r="J30">
            <v>2</v>
          </cell>
          <cell r="K30">
            <v>2</v>
          </cell>
          <cell r="L30">
            <v>2</v>
          </cell>
          <cell r="M30">
            <v>2</v>
          </cell>
          <cell r="N30">
            <v>2</v>
          </cell>
          <cell r="O30">
            <v>2</v>
          </cell>
          <cell r="P30">
            <v>2</v>
          </cell>
          <cell r="Q30">
            <v>2</v>
          </cell>
          <cell r="R30">
            <v>3</v>
          </cell>
          <cell r="S30">
            <v>3</v>
          </cell>
          <cell r="T30">
            <v>3</v>
          </cell>
          <cell r="U30">
            <v>3</v>
          </cell>
          <cell r="V30">
            <v>3</v>
          </cell>
          <cell r="W30">
            <v>1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>
            <v>1</v>
          </cell>
          <cell r="AC30">
            <v>1</v>
          </cell>
          <cell r="AD30">
            <v>1</v>
          </cell>
          <cell r="AE30">
            <v>1</v>
          </cell>
          <cell r="AF30">
            <v>1</v>
          </cell>
          <cell r="AG30">
            <v>1</v>
          </cell>
          <cell r="AH30">
            <v>1</v>
          </cell>
          <cell r="AI30">
            <v>1</v>
          </cell>
          <cell r="AJ30">
            <v>1</v>
          </cell>
          <cell r="AK30">
            <v>1</v>
          </cell>
          <cell r="AL30">
            <v>1</v>
          </cell>
          <cell r="AM30">
            <v>1</v>
          </cell>
          <cell r="AN30">
            <v>3</v>
          </cell>
          <cell r="AO30" t="str">
            <v>Check!</v>
          </cell>
          <cell r="AP30" t="str">
            <v>Check!</v>
          </cell>
          <cell r="AQ30" t="str">
            <v>Check!</v>
          </cell>
          <cell r="AR30" t="str">
            <v>Check!</v>
          </cell>
          <cell r="AS30" t="str">
            <v>Check!</v>
          </cell>
        </row>
        <row r="31">
          <cell r="A31" t="str">
            <v>GB30</v>
          </cell>
          <cell r="B31">
            <v>1</v>
          </cell>
          <cell r="C31">
            <v>1</v>
          </cell>
          <cell r="D31">
            <v>1</v>
          </cell>
          <cell r="E31">
            <v>1</v>
          </cell>
          <cell r="F31">
            <v>1</v>
          </cell>
          <cell r="G31">
            <v>1</v>
          </cell>
          <cell r="H31">
            <v>2</v>
          </cell>
          <cell r="I31">
            <v>2</v>
          </cell>
          <cell r="J31">
            <v>2</v>
          </cell>
          <cell r="K31">
            <v>2</v>
          </cell>
          <cell r="L31">
            <v>2</v>
          </cell>
          <cell r="M31">
            <v>2</v>
          </cell>
          <cell r="N31">
            <v>2</v>
          </cell>
          <cell r="O31">
            <v>2</v>
          </cell>
          <cell r="P31">
            <v>2</v>
          </cell>
          <cell r="Q31">
            <v>2</v>
          </cell>
          <cell r="R31">
            <v>3</v>
          </cell>
          <cell r="S31">
            <v>3</v>
          </cell>
          <cell r="T31">
            <v>3</v>
          </cell>
          <cell r="U31">
            <v>3</v>
          </cell>
          <cell r="V31">
            <v>3</v>
          </cell>
          <cell r="W31">
            <v>1</v>
          </cell>
          <cell r="X31">
            <v>1</v>
          </cell>
          <cell r="Y31">
            <v>1</v>
          </cell>
          <cell r="Z31">
            <v>1</v>
          </cell>
          <cell r="AA31">
            <v>1</v>
          </cell>
          <cell r="AB31">
            <v>1</v>
          </cell>
          <cell r="AC31">
            <v>1</v>
          </cell>
          <cell r="AD31">
            <v>1</v>
          </cell>
          <cell r="AE31">
            <v>1</v>
          </cell>
          <cell r="AF31">
            <v>1</v>
          </cell>
          <cell r="AG31">
            <v>1</v>
          </cell>
          <cell r="AH31">
            <v>1</v>
          </cell>
          <cell r="AI31">
            <v>1</v>
          </cell>
          <cell r="AJ31">
            <v>1</v>
          </cell>
          <cell r="AK31">
            <v>1</v>
          </cell>
          <cell r="AL31">
            <v>1</v>
          </cell>
          <cell r="AM31">
            <v>1</v>
          </cell>
          <cell r="AN31">
            <v>3</v>
          </cell>
          <cell r="AO31" t="str">
            <v>Check!</v>
          </cell>
          <cell r="AP31" t="str">
            <v>Check!</v>
          </cell>
          <cell r="AQ31" t="str">
            <v>Check!</v>
          </cell>
          <cell r="AR31" t="str">
            <v>Check!</v>
          </cell>
          <cell r="AS31" t="str">
            <v>Check!</v>
          </cell>
        </row>
        <row r="32">
          <cell r="A32" t="str">
            <v>GB45</v>
          </cell>
          <cell r="B32">
            <v>1</v>
          </cell>
          <cell r="C32">
            <v>1</v>
          </cell>
          <cell r="D32">
            <v>1</v>
          </cell>
          <cell r="E32">
            <v>1</v>
          </cell>
          <cell r="F32">
            <v>1</v>
          </cell>
          <cell r="G32">
            <v>1</v>
          </cell>
          <cell r="H32">
            <v>2</v>
          </cell>
          <cell r="I32">
            <v>2</v>
          </cell>
          <cell r="J32">
            <v>2</v>
          </cell>
          <cell r="K32">
            <v>2</v>
          </cell>
          <cell r="L32">
            <v>2</v>
          </cell>
          <cell r="M32">
            <v>2</v>
          </cell>
          <cell r="N32">
            <v>2</v>
          </cell>
          <cell r="O32">
            <v>2</v>
          </cell>
          <cell r="P32">
            <v>2</v>
          </cell>
          <cell r="Q32">
            <v>2</v>
          </cell>
          <cell r="R32">
            <v>3</v>
          </cell>
          <cell r="S32">
            <v>3</v>
          </cell>
          <cell r="T32">
            <v>3</v>
          </cell>
          <cell r="U32">
            <v>3</v>
          </cell>
          <cell r="V32">
            <v>3</v>
          </cell>
          <cell r="W32">
            <v>1</v>
          </cell>
          <cell r="X32">
            <v>1</v>
          </cell>
          <cell r="Y32">
            <v>1</v>
          </cell>
          <cell r="Z32">
            <v>1</v>
          </cell>
          <cell r="AA32">
            <v>1</v>
          </cell>
          <cell r="AB32">
            <v>1</v>
          </cell>
          <cell r="AC32">
            <v>1</v>
          </cell>
          <cell r="AD32">
            <v>1</v>
          </cell>
          <cell r="AE32">
            <v>1</v>
          </cell>
          <cell r="AF32">
            <v>1</v>
          </cell>
          <cell r="AG32">
            <v>1</v>
          </cell>
          <cell r="AH32">
            <v>1</v>
          </cell>
          <cell r="AI32">
            <v>1</v>
          </cell>
          <cell r="AJ32">
            <v>1</v>
          </cell>
          <cell r="AK32">
            <v>1</v>
          </cell>
          <cell r="AL32">
            <v>1</v>
          </cell>
          <cell r="AM32">
            <v>1</v>
          </cell>
          <cell r="AN32">
            <v>3</v>
          </cell>
          <cell r="AO32" t="str">
            <v>Check!</v>
          </cell>
          <cell r="AP32" t="str">
            <v>Check!</v>
          </cell>
          <cell r="AQ32" t="str">
            <v>Check!</v>
          </cell>
          <cell r="AR32" t="str">
            <v>Check!</v>
          </cell>
          <cell r="AS32" t="str">
            <v>Check!</v>
          </cell>
        </row>
        <row r="33">
          <cell r="A33" t="str">
            <v>GB80</v>
          </cell>
          <cell r="B33">
            <v>1</v>
          </cell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2</v>
          </cell>
          <cell r="I33">
            <v>2</v>
          </cell>
          <cell r="J33">
            <v>2</v>
          </cell>
          <cell r="K33">
            <v>2</v>
          </cell>
          <cell r="L33">
            <v>2</v>
          </cell>
          <cell r="M33">
            <v>2</v>
          </cell>
          <cell r="N33">
            <v>2</v>
          </cell>
          <cell r="O33">
            <v>2</v>
          </cell>
          <cell r="P33">
            <v>2</v>
          </cell>
          <cell r="Q33">
            <v>2</v>
          </cell>
          <cell r="R33">
            <v>3</v>
          </cell>
          <cell r="S33">
            <v>3</v>
          </cell>
          <cell r="T33">
            <v>3</v>
          </cell>
          <cell r="U33">
            <v>3</v>
          </cell>
          <cell r="V33">
            <v>3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1</v>
          </cell>
          <cell r="AM33">
            <v>1</v>
          </cell>
          <cell r="AN33">
            <v>3</v>
          </cell>
          <cell r="AO33" t="str">
            <v>Check!</v>
          </cell>
          <cell r="AP33" t="str">
            <v>Check!</v>
          </cell>
          <cell r="AQ33" t="str">
            <v>Check!</v>
          </cell>
          <cell r="AR33" t="str">
            <v>Check!</v>
          </cell>
          <cell r="AS33" t="str">
            <v>Check!</v>
          </cell>
        </row>
        <row r="34">
          <cell r="A34" t="str">
            <v>GC5</v>
          </cell>
          <cell r="B34">
            <v>1</v>
          </cell>
          <cell r="C34">
            <v>2</v>
          </cell>
          <cell r="D34">
            <v>2</v>
          </cell>
          <cell r="E34">
            <v>2</v>
          </cell>
          <cell r="F34">
            <v>2</v>
          </cell>
          <cell r="G34">
            <v>2</v>
          </cell>
          <cell r="H34">
            <v>3</v>
          </cell>
          <cell r="I34">
            <v>3</v>
          </cell>
          <cell r="J34">
            <v>3</v>
          </cell>
          <cell r="K34">
            <v>3</v>
          </cell>
          <cell r="L34">
            <v>3</v>
          </cell>
          <cell r="M34">
            <v>3</v>
          </cell>
          <cell r="N34">
            <v>3</v>
          </cell>
          <cell r="O34">
            <v>3</v>
          </cell>
          <cell r="P34">
            <v>3</v>
          </cell>
          <cell r="Q34">
            <v>3</v>
          </cell>
          <cell r="R34">
            <v>3</v>
          </cell>
          <cell r="S34">
            <v>3</v>
          </cell>
          <cell r="T34">
            <v>3</v>
          </cell>
          <cell r="U34">
            <v>3</v>
          </cell>
          <cell r="V34">
            <v>3</v>
          </cell>
          <cell r="W34">
            <v>1</v>
          </cell>
          <cell r="X34">
            <v>1</v>
          </cell>
          <cell r="Y34">
            <v>1</v>
          </cell>
          <cell r="Z34">
            <v>1</v>
          </cell>
          <cell r="AA34">
            <v>1</v>
          </cell>
          <cell r="AB34">
            <v>1</v>
          </cell>
          <cell r="AC34">
            <v>1</v>
          </cell>
          <cell r="AD34">
            <v>1</v>
          </cell>
          <cell r="AE34">
            <v>1</v>
          </cell>
          <cell r="AF34">
            <v>1</v>
          </cell>
          <cell r="AG34">
            <v>3</v>
          </cell>
          <cell r="AH34">
            <v>3</v>
          </cell>
          <cell r="AI34">
            <v>3</v>
          </cell>
          <cell r="AJ34">
            <v>3</v>
          </cell>
          <cell r="AK34">
            <v>3</v>
          </cell>
          <cell r="AL34">
            <v>1</v>
          </cell>
          <cell r="AM34">
            <v>1</v>
          </cell>
          <cell r="AN34">
            <v>3</v>
          </cell>
          <cell r="AO34" t="str">
            <v>Check!</v>
          </cell>
          <cell r="AP34" t="str">
            <v>Check!</v>
          </cell>
          <cell r="AQ34" t="str">
            <v>Check!</v>
          </cell>
          <cell r="AR34" t="str">
            <v>Check!</v>
          </cell>
          <cell r="AS34" t="str">
            <v>Check!</v>
          </cell>
        </row>
        <row r="35">
          <cell r="A35" t="str">
            <v>GC15</v>
          </cell>
          <cell r="B35">
            <v>1</v>
          </cell>
          <cell r="C35">
            <v>2</v>
          </cell>
          <cell r="D35">
            <v>2</v>
          </cell>
          <cell r="E35">
            <v>2</v>
          </cell>
          <cell r="F35">
            <v>2</v>
          </cell>
          <cell r="G35">
            <v>2</v>
          </cell>
          <cell r="H35">
            <v>3</v>
          </cell>
          <cell r="I35">
            <v>3</v>
          </cell>
          <cell r="J35">
            <v>3</v>
          </cell>
          <cell r="K35">
            <v>3</v>
          </cell>
          <cell r="L35">
            <v>3</v>
          </cell>
          <cell r="M35">
            <v>3</v>
          </cell>
          <cell r="N35">
            <v>3</v>
          </cell>
          <cell r="O35">
            <v>3</v>
          </cell>
          <cell r="P35">
            <v>3</v>
          </cell>
          <cell r="Q35">
            <v>3</v>
          </cell>
          <cell r="R35">
            <v>3</v>
          </cell>
          <cell r="S35">
            <v>3</v>
          </cell>
          <cell r="T35">
            <v>3</v>
          </cell>
          <cell r="U35">
            <v>3</v>
          </cell>
          <cell r="V35">
            <v>3</v>
          </cell>
          <cell r="W35">
            <v>1</v>
          </cell>
          <cell r="X35">
            <v>1</v>
          </cell>
          <cell r="Y35">
            <v>1</v>
          </cell>
          <cell r="Z35">
            <v>1</v>
          </cell>
          <cell r="AA35">
            <v>1</v>
          </cell>
          <cell r="AB35">
            <v>1</v>
          </cell>
          <cell r="AC35">
            <v>1</v>
          </cell>
          <cell r="AD35">
            <v>1</v>
          </cell>
          <cell r="AE35">
            <v>1</v>
          </cell>
          <cell r="AF35">
            <v>1</v>
          </cell>
          <cell r="AG35">
            <v>3</v>
          </cell>
          <cell r="AH35">
            <v>3</v>
          </cell>
          <cell r="AI35">
            <v>3</v>
          </cell>
          <cell r="AJ35">
            <v>3</v>
          </cell>
          <cell r="AK35">
            <v>3</v>
          </cell>
          <cell r="AL35">
            <v>1</v>
          </cell>
          <cell r="AM35">
            <v>1</v>
          </cell>
          <cell r="AN35">
            <v>3</v>
          </cell>
          <cell r="AO35" t="str">
            <v>Check!</v>
          </cell>
          <cell r="AP35" t="str">
            <v>Check!</v>
          </cell>
          <cell r="AQ35" t="str">
            <v>Check!</v>
          </cell>
          <cell r="AR35" t="str">
            <v>Check!</v>
          </cell>
          <cell r="AS35" t="str">
            <v>Check!</v>
          </cell>
        </row>
        <row r="36">
          <cell r="A36" t="str">
            <v>GC30</v>
          </cell>
          <cell r="B36">
            <v>1</v>
          </cell>
          <cell r="C36">
            <v>2</v>
          </cell>
          <cell r="D36">
            <v>2</v>
          </cell>
          <cell r="E36">
            <v>2</v>
          </cell>
          <cell r="F36">
            <v>2</v>
          </cell>
          <cell r="G36">
            <v>2</v>
          </cell>
          <cell r="H36">
            <v>3</v>
          </cell>
          <cell r="I36">
            <v>3</v>
          </cell>
          <cell r="J36">
            <v>3</v>
          </cell>
          <cell r="K36">
            <v>3</v>
          </cell>
          <cell r="L36">
            <v>3</v>
          </cell>
          <cell r="M36">
            <v>3</v>
          </cell>
          <cell r="N36">
            <v>3</v>
          </cell>
          <cell r="O36">
            <v>3</v>
          </cell>
          <cell r="P36">
            <v>3</v>
          </cell>
          <cell r="Q36">
            <v>3</v>
          </cell>
          <cell r="R36">
            <v>3</v>
          </cell>
          <cell r="S36">
            <v>3</v>
          </cell>
          <cell r="T36">
            <v>3</v>
          </cell>
          <cell r="U36">
            <v>3</v>
          </cell>
          <cell r="V36">
            <v>3</v>
          </cell>
          <cell r="W36">
            <v>1</v>
          </cell>
          <cell r="X36">
            <v>1</v>
          </cell>
          <cell r="Y36">
            <v>1</v>
          </cell>
          <cell r="Z36">
            <v>1</v>
          </cell>
          <cell r="AA36">
            <v>1</v>
          </cell>
          <cell r="AB36">
            <v>1</v>
          </cell>
          <cell r="AC36">
            <v>1</v>
          </cell>
          <cell r="AD36">
            <v>1</v>
          </cell>
          <cell r="AE36">
            <v>1</v>
          </cell>
          <cell r="AF36">
            <v>1</v>
          </cell>
          <cell r="AG36">
            <v>3</v>
          </cell>
          <cell r="AH36">
            <v>3</v>
          </cell>
          <cell r="AI36">
            <v>3</v>
          </cell>
          <cell r="AJ36">
            <v>3</v>
          </cell>
          <cell r="AK36">
            <v>3</v>
          </cell>
          <cell r="AL36">
            <v>1</v>
          </cell>
          <cell r="AM36">
            <v>1</v>
          </cell>
          <cell r="AN36">
            <v>3</v>
          </cell>
          <cell r="AO36" t="str">
            <v>Check!</v>
          </cell>
          <cell r="AP36" t="str">
            <v>Check!</v>
          </cell>
          <cell r="AQ36" t="str">
            <v>Check!</v>
          </cell>
          <cell r="AR36" t="str">
            <v>Check!</v>
          </cell>
          <cell r="AS36" t="str">
            <v>Check!</v>
          </cell>
        </row>
        <row r="37">
          <cell r="A37" t="str">
            <v>GC45</v>
          </cell>
          <cell r="B37">
            <v>1</v>
          </cell>
          <cell r="C37">
            <v>2</v>
          </cell>
          <cell r="D37">
            <v>2</v>
          </cell>
          <cell r="E37">
            <v>2</v>
          </cell>
          <cell r="F37">
            <v>2</v>
          </cell>
          <cell r="G37">
            <v>2</v>
          </cell>
          <cell r="H37">
            <v>3</v>
          </cell>
          <cell r="I37">
            <v>3</v>
          </cell>
          <cell r="J37">
            <v>3</v>
          </cell>
          <cell r="K37">
            <v>3</v>
          </cell>
          <cell r="L37">
            <v>3</v>
          </cell>
          <cell r="M37">
            <v>3</v>
          </cell>
          <cell r="N37">
            <v>3</v>
          </cell>
          <cell r="O37">
            <v>3</v>
          </cell>
          <cell r="P37">
            <v>3</v>
          </cell>
          <cell r="Q37">
            <v>3</v>
          </cell>
          <cell r="R37">
            <v>3</v>
          </cell>
          <cell r="S37">
            <v>3</v>
          </cell>
          <cell r="T37">
            <v>3</v>
          </cell>
          <cell r="U37">
            <v>3</v>
          </cell>
          <cell r="V37">
            <v>3</v>
          </cell>
          <cell r="W37">
            <v>1</v>
          </cell>
          <cell r="X37">
            <v>1</v>
          </cell>
          <cell r="Y37">
            <v>1</v>
          </cell>
          <cell r="Z37">
            <v>1</v>
          </cell>
          <cell r="AA37">
            <v>1</v>
          </cell>
          <cell r="AB37">
            <v>1</v>
          </cell>
          <cell r="AC37">
            <v>1</v>
          </cell>
          <cell r="AD37">
            <v>1</v>
          </cell>
          <cell r="AE37">
            <v>1</v>
          </cell>
          <cell r="AF37">
            <v>1</v>
          </cell>
          <cell r="AG37">
            <v>3</v>
          </cell>
          <cell r="AH37">
            <v>3</v>
          </cell>
          <cell r="AI37">
            <v>3</v>
          </cell>
          <cell r="AJ37">
            <v>3</v>
          </cell>
          <cell r="AK37">
            <v>3</v>
          </cell>
          <cell r="AL37">
            <v>1</v>
          </cell>
          <cell r="AM37">
            <v>1</v>
          </cell>
          <cell r="AN37">
            <v>3</v>
          </cell>
          <cell r="AO37" t="str">
            <v>Check!</v>
          </cell>
          <cell r="AP37" t="str">
            <v>Check!</v>
          </cell>
          <cell r="AQ37" t="str">
            <v>Check!</v>
          </cell>
          <cell r="AR37" t="str">
            <v>Check!</v>
          </cell>
          <cell r="AS37" t="str">
            <v>Check!</v>
          </cell>
        </row>
        <row r="38">
          <cell r="A38" t="str">
            <v>GC80</v>
          </cell>
          <cell r="B38">
            <v>1</v>
          </cell>
          <cell r="C38">
            <v>2</v>
          </cell>
          <cell r="D38">
            <v>2</v>
          </cell>
          <cell r="E38">
            <v>2</v>
          </cell>
          <cell r="F38">
            <v>2</v>
          </cell>
          <cell r="G38">
            <v>2</v>
          </cell>
          <cell r="H38">
            <v>3</v>
          </cell>
          <cell r="I38">
            <v>3</v>
          </cell>
          <cell r="J38">
            <v>3</v>
          </cell>
          <cell r="K38">
            <v>3</v>
          </cell>
          <cell r="L38">
            <v>3</v>
          </cell>
          <cell r="M38">
            <v>3</v>
          </cell>
          <cell r="N38">
            <v>3</v>
          </cell>
          <cell r="O38">
            <v>3</v>
          </cell>
          <cell r="P38">
            <v>3</v>
          </cell>
          <cell r="Q38">
            <v>3</v>
          </cell>
          <cell r="R38">
            <v>3</v>
          </cell>
          <cell r="S38">
            <v>3</v>
          </cell>
          <cell r="T38">
            <v>3</v>
          </cell>
          <cell r="U38">
            <v>3</v>
          </cell>
          <cell r="V38">
            <v>3</v>
          </cell>
          <cell r="W38">
            <v>1</v>
          </cell>
          <cell r="X38">
            <v>1</v>
          </cell>
          <cell r="Y38">
            <v>1</v>
          </cell>
          <cell r="Z38">
            <v>1</v>
          </cell>
          <cell r="AA38">
            <v>1</v>
          </cell>
          <cell r="AB38">
            <v>1</v>
          </cell>
          <cell r="AC38">
            <v>1</v>
          </cell>
          <cell r="AD38">
            <v>1</v>
          </cell>
          <cell r="AE38">
            <v>1</v>
          </cell>
          <cell r="AF38">
            <v>1</v>
          </cell>
          <cell r="AG38">
            <v>3</v>
          </cell>
          <cell r="AH38">
            <v>3</v>
          </cell>
          <cell r="AI38">
            <v>3</v>
          </cell>
          <cell r="AJ38">
            <v>3</v>
          </cell>
          <cell r="AK38">
            <v>3</v>
          </cell>
          <cell r="AL38">
            <v>1</v>
          </cell>
          <cell r="AM38">
            <v>1</v>
          </cell>
          <cell r="AN38">
            <v>3</v>
          </cell>
          <cell r="AO38" t="str">
            <v>Check!</v>
          </cell>
          <cell r="AP38" t="str">
            <v>Check!</v>
          </cell>
          <cell r="AQ38" t="str">
            <v>Check!</v>
          </cell>
          <cell r="AR38" t="str">
            <v>Check!</v>
          </cell>
          <cell r="AS38" t="str">
            <v>Check!</v>
          </cell>
        </row>
        <row r="39">
          <cell r="A39" t="str">
            <v>TT</v>
          </cell>
          <cell r="B39">
            <v>1</v>
          </cell>
          <cell r="C39">
            <v>1</v>
          </cell>
          <cell r="D39">
            <v>1</v>
          </cell>
          <cell r="E39">
            <v>1</v>
          </cell>
          <cell r="F39">
            <v>1</v>
          </cell>
          <cell r="G39">
            <v>1</v>
          </cell>
          <cell r="H39">
            <v>1</v>
          </cell>
          <cell r="I39">
            <v>1</v>
          </cell>
          <cell r="J39">
            <v>1</v>
          </cell>
          <cell r="K39">
            <v>1</v>
          </cell>
          <cell r="L39">
            <v>1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1</v>
          </cell>
          <cell r="S39">
            <v>1</v>
          </cell>
          <cell r="T39">
            <v>1</v>
          </cell>
          <cell r="U39">
            <v>1</v>
          </cell>
          <cell r="V39">
            <v>1</v>
          </cell>
          <cell r="W39">
            <v>1</v>
          </cell>
          <cell r="X39">
            <v>1</v>
          </cell>
          <cell r="Y39">
            <v>1</v>
          </cell>
          <cell r="Z39">
            <v>1</v>
          </cell>
          <cell r="AA39">
            <v>1</v>
          </cell>
          <cell r="AB39">
            <v>1</v>
          </cell>
          <cell r="AC39">
            <v>1</v>
          </cell>
          <cell r="AD39">
            <v>1</v>
          </cell>
          <cell r="AE39">
            <v>1</v>
          </cell>
          <cell r="AF39">
            <v>1</v>
          </cell>
          <cell r="AG39">
            <v>1</v>
          </cell>
          <cell r="AH39">
            <v>1</v>
          </cell>
          <cell r="AI39">
            <v>1</v>
          </cell>
          <cell r="AJ39">
            <v>1</v>
          </cell>
          <cell r="AK39">
            <v>1</v>
          </cell>
          <cell r="AL39">
            <v>1</v>
          </cell>
          <cell r="AM39">
            <v>1</v>
          </cell>
          <cell r="AN39">
            <v>1</v>
          </cell>
          <cell r="AO39">
            <v>1</v>
          </cell>
          <cell r="AP39">
            <v>1</v>
          </cell>
          <cell r="AQ39">
            <v>1</v>
          </cell>
          <cell r="AR39">
            <v>1</v>
          </cell>
          <cell r="AS39">
            <v>1</v>
          </cell>
        </row>
        <row r="40">
          <cell r="A40" t="str">
            <v>A</v>
          </cell>
          <cell r="B40">
            <v>1</v>
          </cell>
          <cell r="C40">
            <v>1</v>
          </cell>
          <cell r="D40">
            <v>1</v>
          </cell>
          <cell r="E40">
            <v>1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J40">
            <v>1</v>
          </cell>
          <cell r="K40">
            <v>1</v>
          </cell>
          <cell r="L40">
            <v>1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1</v>
          </cell>
          <cell r="S40">
            <v>1</v>
          </cell>
          <cell r="T40">
            <v>1</v>
          </cell>
          <cell r="U40">
            <v>1</v>
          </cell>
          <cell r="V40">
            <v>1</v>
          </cell>
          <cell r="W40">
            <v>1</v>
          </cell>
          <cell r="X40">
            <v>1</v>
          </cell>
          <cell r="Y40">
            <v>1</v>
          </cell>
          <cell r="Z40">
            <v>1</v>
          </cell>
          <cell r="AA40">
            <v>1</v>
          </cell>
          <cell r="AB40">
            <v>1</v>
          </cell>
          <cell r="AC40">
            <v>1</v>
          </cell>
          <cell r="AD40">
            <v>1</v>
          </cell>
          <cell r="AE40">
            <v>1</v>
          </cell>
          <cell r="AF40">
            <v>1</v>
          </cell>
          <cell r="AG40">
            <v>1</v>
          </cell>
          <cell r="AH40">
            <v>1</v>
          </cell>
          <cell r="AI40">
            <v>1</v>
          </cell>
          <cell r="AJ40">
            <v>1</v>
          </cell>
          <cell r="AK40">
            <v>1</v>
          </cell>
          <cell r="AL40">
            <v>1</v>
          </cell>
          <cell r="AM40">
            <v>1</v>
          </cell>
          <cell r="AN40">
            <v>3</v>
          </cell>
          <cell r="AO40">
            <v>1</v>
          </cell>
          <cell r="AP40">
            <v>1</v>
          </cell>
          <cell r="AQ40" t="str">
            <v>Check!</v>
          </cell>
          <cell r="AR40">
            <v>1</v>
          </cell>
          <cell r="AS40" t="str">
            <v>Check!</v>
          </cell>
        </row>
        <row r="41">
          <cell r="A41" t="str">
            <v>R</v>
          </cell>
          <cell r="B41">
            <v>1</v>
          </cell>
          <cell r="C41">
            <v>3</v>
          </cell>
          <cell r="D41">
            <v>3</v>
          </cell>
          <cell r="E41">
            <v>3</v>
          </cell>
          <cell r="F41">
            <v>3</v>
          </cell>
          <cell r="G41">
            <v>3</v>
          </cell>
          <cell r="H41">
            <v>3</v>
          </cell>
          <cell r="I41">
            <v>3</v>
          </cell>
          <cell r="J41">
            <v>3</v>
          </cell>
          <cell r="K41">
            <v>3</v>
          </cell>
          <cell r="L41">
            <v>3</v>
          </cell>
          <cell r="M41">
            <v>3</v>
          </cell>
          <cell r="N41">
            <v>3</v>
          </cell>
          <cell r="O41">
            <v>3</v>
          </cell>
          <cell r="P41">
            <v>3</v>
          </cell>
          <cell r="Q41">
            <v>3</v>
          </cell>
          <cell r="R41">
            <v>3</v>
          </cell>
          <cell r="S41">
            <v>3</v>
          </cell>
          <cell r="T41">
            <v>3</v>
          </cell>
          <cell r="U41">
            <v>3</v>
          </cell>
          <cell r="V41">
            <v>3</v>
          </cell>
          <cell r="W41">
            <v>3</v>
          </cell>
          <cell r="X41">
            <v>3</v>
          </cell>
          <cell r="Y41">
            <v>3</v>
          </cell>
          <cell r="Z41">
            <v>3</v>
          </cell>
          <cell r="AA41">
            <v>3</v>
          </cell>
          <cell r="AB41">
            <v>3</v>
          </cell>
          <cell r="AC41">
            <v>3</v>
          </cell>
          <cell r="AD41">
            <v>3</v>
          </cell>
          <cell r="AE41">
            <v>3</v>
          </cell>
          <cell r="AF41">
            <v>3</v>
          </cell>
          <cell r="AG41">
            <v>3</v>
          </cell>
          <cell r="AH41">
            <v>3</v>
          </cell>
          <cell r="AI41">
            <v>3</v>
          </cell>
          <cell r="AJ41">
            <v>3</v>
          </cell>
          <cell r="AK41">
            <v>3</v>
          </cell>
          <cell r="AL41">
            <v>1</v>
          </cell>
          <cell r="AM41">
            <v>3</v>
          </cell>
          <cell r="AN41">
            <v>3</v>
          </cell>
          <cell r="AO41">
            <v>1</v>
          </cell>
          <cell r="AP41">
            <v>1</v>
          </cell>
          <cell r="AQ41">
            <v>1</v>
          </cell>
          <cell r="AR41">
            <v>1</v>
          </cell>
          <cell r="AS41">
            <v>1</v>
          </cell>
        </row>
        <row r="42">
          <cell r="A42" t="str">
            <v>E</v>
          </cell>
          <cell r="B42">
            <v>1</v>
          </cell>
          <cell r="C42">
            <v>1</v>
          </cell>
          <cell r="D42">
            <v>1</v>
          </cell>
          <cell r="E42">
            <v>1</v>
          </cell>
          <cell r="F42">
            <v>1</v>
          </cell>
          <cell r="G42">
            <v>1</v>
          </cell>
          <cell r="H42">
            <v>1</v>
          </cell>
          <cell r="I42">
            <v>1</v>
          </cell>
          <cell r="J42">
            <v>1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1</v>
          </cell>
          <cell r="S42">
            <v>1</v>
          </cell>
          <cell r="T42">
            <v>1</v>
          </cell>
          <cell r="U42">
            <v>1</v>
          </cell>
          <cell r="V42">
            <v>1</v>
          </cell>
          <cell r="W42">
            <v>1</v>
          </cell>
          <cell r="X42">
            <v>1</v>
          </cell>
          <cell r="Y42">
            <v>1</v>
          </cell>
          <cell r="Z42">
            <v>1</v>
          </cell>
          <cell r="AA42">
            <v>1</v>
          </cell>
          <cell r="AB42">
            <v>1</v>
          </cell>
          <cell r="AC42">
            <v>1</v>
          </cell>
          <cell r="AD42">
            <v>1</v>
          </cell>
          <cell r="AE42">
            <v>1</v>
          </cell>
          <cell r="AF42">
            <v>1</v>
          </cell>
          <cell r="AG42">
            <v>1</v>
          </cell>
          <cell r="AH42">
            <v>1</v>
          </cell>
          <cell r="AI42">
            <v>1</v>
          </cell>
          <cell r="AJ42">
            <v>1</v>
          </cell>
          <cell r="AK42">
            <v>1</v>
          </cell>
          <cell r="AL42">
            <v>1</v>
          </cell>
          <cell r="AM42">
            <v>1</v>
          </cell>
          <cell r="AN42">
            <v>1</v>
          </cell>
          <cell r="AO42">
            <v>1</v>
          </cell>
          <cell r="AP42">
            <v>1</v>
          </cell>
          <cell r="AQ42" t="str">
            <v>Check!</v>
          </cell>
          <cell r="AR42">
            <v>1</v>
          </cell>
          <cell r="AS42" t="str">
            <v>Check!</v>
          </cell>
        </row>
        <row r="43">
          <cell r="A43" t="str">
            <v>C</v>
          </cell>
          <cell r="B43">
            <v>1</v>
          </cell>
          <cell r="C43">
            <v>1</v>
          </cell>
          <cell r="D43">
            <v>1</v>
          </cell>
          <cell r="E43">
            <v>1</v>
          </cell>
          <cell r="F43">
            <v>1</v>
          </cell>
          <cell r="G43">
            <v>1</v>
          </cell>
          <cell r="H43" t="str">
            <v>Check!</v>
          </cell>
          <cell r="I43" t="str">
            <v>Check!</v>
          </cell>
          <cell r="J43" t="str">
            <v>Check!</v>
          </cell>
          <cell r="K43" t="str">
            <v>Check!</v>
          </cell>
          <cell r="L43" t="str">
            <v>Check!</v>
          </cell>
          <cell r="M43" t="str">
            <v>Check!</v>
          </cell>
          <cell r="N43" t="str">
            <v>Check!</v>
          </cell>
          <cell r="O43" t="str">
            <v>Check!</v>
          </cell>
          <cell r="P43" t="str">
            <v>Check!</v>
          </cell>
          <cell r="Q43" t="str">
            <v>Check!</v>
          </cell>
          <cell r="R43" t="str">
            <v>Check!</v>
          </cell>
          <cell r="S43" t="str">
            <v>Check!</v>
          </cell>
          <cell r="T43" t="str">
            <v>Check!</v>
          </cell>
          <cell r="U43" t="str">
            <v>Check!</v>
          </cell>
          <cell r="V43" t="str">
            <v>Check!</v>
          </cell>
          <cell r="W43">
            <v>1</v>
          </cell>
          <cell r="X43">
            <v>1</v>
          </cell>
          <cell r="Y43">
            <v>1</v>
          </cell>
          <cell r="Z43">
            <v>1</v>
          </cell>
          <cell r="AA43">
            <v>1</v>
          </cell>
          <cell r="AB43" t="str">
            <v>Check!</v>
          </cell>
          <cell r="AC43" t="str">
            <v>Check!</v>
          </cell>
          <cell r="AD43" t="str">
            <v>Check!</v>
          </cell>
          <cell r="AE43" t="str">
            <v>Check!</v>
          </cell>
          <cell r="AF43" t="str">
            <v>Check!</v>
          </cell>
          <cell r="AG43" t="str">
            <v>Check!</v>
          </cell>
          <cell r="AH43" t="str">
            <v>Check!</v>
          </cell>
          <cell r="AI43" t="str">
            <v>Check!</v>
          </cell>
          <cell r="AJ43" t="str">
            <v>Check!</v>
          </cell>
          <cell r="AK43" t="str">
            <v>Check!</v>
          </cell>
          <cell r="AL43">
            <v>1</v>
          </cell>
          <cell r="AM43">
            <v>2</v>
          </cell>
          <cell r="AN43">
            <v>1</v>
          </cell>
          <cell r="AO43">
            <v>1</v>
          </cell>
          <cell r="AP43">
            <v>3</v>
          </cell>
          <cell r="AQ43" t="str">
            <v>Check!</v>
          </cell>
          <cell r="AR43" t="str">
            <v>Check!</v>
          </cell>
          <cell r="AS43" t="str">
            <v>Check!</v>
          </cell>
        </row>
        <row r="44">
          <cell r="A44" t="str">
            <v>S</v>
          </cell>
          <cell r="B44">
            <v>1</v>
          </cell>
          <cell r="C44">
            <v>1</v>
          </cell>
          <cell r="D44">
            <v>1</v>
          </cell>
          <cell r="E44">
            <v>1</v>
          </cell>
          <cell r="F44">
            <v>1</v>
          </cell>
          <cell r="G44">
            <v>1</v>
          </cell>
          <cell r="H44" t="str">
            <v>Check!</v>
          </cell>
          <cell r="I44" t="str">
            <v>Check!</v>
          </cell>
          <cell r="J44" t="str">
            <v>Check!</v>
          </cell>
          <cell r="K44" t="str">
            <v>Check!</v>
          </cell>
          <cell r="L44" t="str">
            <v>Check!</v>
          </cell>
          <cell r="M44" t="str">
            <v>Check!</v>
          </cell>
          <cell r="N44" t="str">
            <v>Check!</v>
          </cell>
          <cell r="O44" t="str">
            <v>Check!</v>
          </cell>
          <cell r="P44" t="str">
            <v>Check!</v>
          </cell>
          <cell r="Q44" t="str">
            <v>Check!</v>
          </cell>
          <cell r="R44" t="str">
            <v>Check!</v>
          </cell>
          <cell r="S44" t="str">
            <v>Check!</v>
          </cell>
          <cell r="T44" t="str">
            <v>Check!</v>
          </cell>
          <cell r="U44" t="str">
            <v>Check!</v>
          </cell>
          <cell r="V44" t="str">
            <v>Check!</v>
          </cell>
          <cell r="W44">
            <v>1</v>
          </cell>
          <cell r="X44">
            <v>1</v>
          </cell>
          <cell r="Y44">
            <v>1</v>
          </cell>
          <cell r="Z44">
            <v>1</v>
          </cell>
          <cell r="AA44">
            <v>1</v>
          </cell>
          <cell r="AB44" t="str">
            <v>Check!</v>
          </cell>
          <cell r="AC44" t="str">
            <v>Check!</v>
          </cell>
          <cell r="AD44" t="str">
            <v>Check!</v>
          </cell>
          <cell r="AE44" t="str">
            <v>Check!</v>
          </cell>
          <cell r="AF44" t="str">
            <v>Check!</v>
          </cell>
          <cell r="AG44" t="str">
            <v>Check!</v>
          </cell>
          <cell r="AH44" t="str">
            <v>Check!</v>
          </cell>
          <cell r="AI44" t="str">
            <v>Check!</v>
          </cell>
          <cell r="AJ44" t="str">
            <v>Check!</v>
          </cell>
          <cell r="AK44" t="str">
            <v>Check!</v>
          </cell>
          <cell r="AL44">
            <v>1</v>
          </cell>
          <cell r="AM44" t="str">
            <v>Check!</v>
          </cell>
          <cell r="AN44" t="str">
            <v>Check!</v>
          </cell>
          <cell r="AO44" t="str">
            <v>Check!</v>
          </cell>
          <cell r="AP44" t="str">
            <v>Check!</v>
          </cell>
          <cell r="AQ44">
            <v>1</v>
          </cell>
          <cell r="AR44" t="str">
            <v>Check!</v>
          </cell>
          <cell r="AS44" t="str">
            <v>Check!</v>
          </cell>
        </row>
        <row r="45">
          <cell r="A45" t="str">
            <v>F</v>
          </cell>
          <cell r="B45">
            <v>1</v>
          </cell>
          <cell r="C45">
            <v>1</v>
          </cell>
          <cell r="D45">
            <v>1</v>
          </cell>
          <cell r="E45">
            <v>1</v>
          </cell>
          <cell r="F45">
            <v>1</v>
          </cell>
          <cell r="G45">
            <v>1</v>
          </cell>
          <cell r="H45" t="str">
            <v>Check!</v>
          </cell>
          <cell r="I45" t="str">
            <v>Check!</v>
          </cell>
          <cell r="J45" t="str">
            <v>Check!</v>
          </cell>
          <cell r="K45" t="str">
            <v>Check!</v>
          </cell>
          <cell r="L45" t="str">
            <v>Check!</v>
          </cell>
          <cell r="M45" t="str">
            <v>Check!</v>
          </cell>
          <cell r="N45" t="str">
            <v>Check!</v>
          </cell>
          <cell r="O45" t="str">
            <v>Check!</v>
          </cell>
          <cell r="P45" t="str">
            <v>Check!</v>
          </cell>
          <cell r="Q45" t="str">
            <v>Check!</v>
          </cell>
          <cell r="R45" t="str">
            <v>Check!</v>
          </cell>
          <cell r="S45" t="str">
            <v>Check!</v>
          </cell>
          <cell r="T45" t="str">
            <v>Check!</v>
          </cell>
          <cell r="U45" t="str">
            <v>Check!</v>
          </cell>
          <cell r="V45" t="str">
            <v>Check!</v>
          </cell>
          <cell r="W45">
            <v>1</v>
          </cell>
          <cell r="X45">
            <v>1</v>
          </cell>
          <cell r="Y45">
            <v>1</v>
          </cell>
          <cell r="Z45">
            <v>1</v>
          </cell>
          <cell r="AA45">
            <v>1</v>
          </cell>
          <cell r="AB45" t="str">
            <v>Check!</v>
          </cell>
          <cell r="AC45" t="str">
            <v>Check!</v>
          </cell>
          <cell r="AD45" t="str">
            <v>Check!</v>
          </cell>
          <cell r="AE45" t="str">
            <v>Check!</v>
          </cell>
          <cell r="AF45" t="str">
            <v>Check!</v>
          </cell>
          <cell r="AG45" t="str">
            <v>Check!</v>
          </cell>
          <cell r="AH45" t="str">
            <v>Check!</v>
          </cell>
          <cell r="AI45" t="str">
            <v>Check!</v>
          </cell>
          <cell r="AJ45" t="str">
            <v>Check!</v>
          </cell>
          <cell r="AK45" t="str">
            <v>Check!</v>
          </cell>
          <cell r="AL45">
            <v>1</v>
          </cell>
          <cell r="AM45">
            <v>1</v>
          </cell>
          <cell r="AN45" t="str">
            <v>Check!</v>
          </cell>
          <cell r="AO45">
            <v>1</v>
          </cell>
          <cell r="AP45" t="str">
            <v>Check!</v>
          </cell>
          <cell r="AQ45" t="str">
            <v>Check!</v>
          </cell>
          <cell r="AR45">
            <v>3</v>
          </cell>
          <cell r="AS45">
            <v>3</v>
          </cell>
        </row>
        <row r="46">
          <cell r="A46" t="str">
            <v>B</v>
          </cell>
          <cell r="B46">
            <v>1</v>
          </cell>
          <cell r="C46">
            <v>1</v>
          </cell>
          <cell r="D46">
            <v>1</v>
          </cell>
          <cell r="E46">
            <v>1</v>
          </cell>
          <cell r="F46">
            <v>1</v>
          </cell>
          <cell r="G46">
            <v>1</v>
          </cell>
          <cell r="H46" t="str">
            <v>Check!</v>
          </cell>
          <cell r="I46" t="str">
            <v>Check!</v>
          </cell>
          <cell r="J46" t="str">
            <v>Check!</v>
          </cell>
          <cell r="K46" t="str">
            <v>Check!</v>
          </cell>
          <cell r="L46" t="str">
            <v>Check!</v>
          </cell>
          <cell r="M46" t="str">
            <v>Check!</v>
          </cell>
          <cell r="N46" t="str">
            <v>Check!</v>
          </cell>
          <cell r="O46" t="str">
            <v>Check!</v>
          </cell>
          <cell r="P46" t="str">
            <v>Check!</v>
          </cell>
          <cell r="Q46" t="str">
            <v>Check!</v>
          </cell>
          <cell r="R46" t="str">
            <v>Check!</v>
          </cell>
          <cell r="S46" t="str">
            <v>Check!</v>
          </cell>
          <cell r="T46" t="str">
            <v>Check!</v>
          </cell>
          <cell r="U46" t="str">
            <v>Check!</v>
          </cell>
          <cell r="V46" t="str">
            <v>Check!</v>
          </cell>
          <cell r="W46">
            <v>1</v>
          </cell>
          <cell r="X46">
            <v>1</v>
          </cell>
          <cell r="Y46">
            <v>1</v>
          </cell>
          <cell r="Z46">
            <v>1</v>
          </cell>
          <cell r="AA46">
            <v>1</v>
          </cell>
          <cell r="AB46" t="str">
            <v>Check!</v>
          </cell>
          <cell r="AC46" t="str">
            <v>Check!</v>
          </cell>
          <cell r="AD46" t="str">
            <v>Check!</v>
          </cell>
          <cell r="AE46" t="str">
            <v>Check!</v>
          </cell>
          <cell r="AF46" t="str">
            <v>Check!</v>
          </cell>
          <cell r="AG46" t="str">
            <v>Check!</v>
          </cell>
          <cell r="AH46" t="str">
            <v>Check!</v>
          </cell>
          <cell r="AI46" t="str">
            <v>Check!</v>
          </cell>
          <cell r="AJ46" t="str">
            <v>Check!</v>
          </cell>
          <cell r="AK46" t="str">
            <v>Check!</v>
          </cell>
          <cell r="AL46">
            <v>1</v>
          </cell>
          <cell r="AM46" t="str">
            <v>Check!</v>
          </cell>
          <cell r="AN46">
            <v>1</v>
          </cell>
          <cell r="AO46" t="str">
            <v>Check!</v>
          </cell>
          <cell r="AP46" t="str">
            <v>Check!</v>
          </cell>
          <cell r="AQ46" t="str">
            <v>Check!</v>
          </cell>
          <cell r="AR46">
            <v>3</v>
          </cell>
          <cell r="AS46">
            <v>1</v>
          </cell>
        </row>
      </sheetData>
      <sheetData sheetId="3" refreshError="1"/>
      <sheetData sheetId="4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EYISS"/>
      <sheetName val="REPORT"/>
      <sheetName val="Sheet1"/>
      <sheetName val="parameter"/>
      <sheetName val="Prix HA"/>
      <sheetName val="Prix_HA"/>
    </sheetNames>
    <sheetDataSet>
      <sheetData sheetId="0" refreshError="1">
        <row r="9">
          <cell r="H9">
            <v>0.60326000000000002</v>
          </cell>
          <cell r="J9">
            <v>0.54959999999999998</v>
          </cell>
        </row>
        <row r="10">
          <cell r="H10">
            <v>1.6396999999999999</v>
          </cell>
          <cell r="J10">
            <v>1.6065</v>
          </cell>
        </row>
        <row r="11">
          <cell r="E11">
            <v>0.19047619047619047</v>
          </cell>
          <cell r="H11">
            <v>0.17881</v>
          </cell>
          <cell r="J11">
            <v>0.16300000000000001</v>
          </cell>
        </row>
        <row r="12">
          <cell r="E12">
            <v>0.13333333333333333</v>
          </cell>
          <cell r="H12">
            <v>0.12759000000000001</v>
          </cell>
          <cell r="J12">
            <v>0.129</v>
          </cell>
        </row>
        <row r="13">
          <cell r="E13">
            <v>7.6923076923076927E-3</v>
          </cell>
          <cell r="H13">
            <v>7.1700000000000002E-3</v>
          </cell>
          <cell r="J13">
            <v>6.4999999999999997E-3</v>
          </cell>
        </row>
      </sheetData>
      <sheetData sheetId="1" refreshError="1"/>
      <sheetData sheetId="2" refreshError="1"/>
      <sheetData sheetId="3" refreshError="1"/>
      <sheetData sheetId="4" refreshError="1"/>
      <sheetData sheetId="5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tle Page"/>
      <sheetName val="AOP Exec Summary"/>
      <sheetName val="Plant Summary"/>
      <sheetName val="Causal"/>
      <sheetName val="Other"/>
      <sheetName val="Sales Volume"/>
      <sheetName val="MPV"/>
      <sheetName val="Labor Performance"/>
      <sheetName val="Burden Performance"/>
      <sheetName val="HdctSum"/>
      <sheetName val="Asset Mgmt"/>
      <sheetName val="Working Capital"/>
      <sheetName val="Sales per Salary Head"/>
      <sheetName val="R&amp;O"/>
      <sheetName val="SBP Executive Summary"/>
      <sheetName val="SBP Sales"/>
      <sheetName val="Breakeven "/>
    </sheetNames>
    <sheetDataSet>
      <sheetData sheetId="0"/>
      <sheetData sheetId="1" refreshError="1">
        <row r="3">
          <cell r="A3" t="str">
            <v>Roof Systems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sia Pacific"/>
      <sheetName val="ZJ"/>
      <sheetName val="CC"/>
      <sheetName val="WGQ"/>
      <sheetName val="China_Staff"/>
      <sheetName val="Roof_Engr"/>
      <sheetName val="Korea"/>
      <sheetName val="Japan"/>
      <sheetName val="Australia"/>
      <sheetName val="Values CPSV"/>
      <sheetName val="Values HPLU"/>
      <sheetName val="Lookup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A1" t="str">
            <v>H</v>
          </cell>
          <cell r="B1" t="str">
            <v>C.Sun</v>
          </cell>
          <cell r="C1" t="str">
            <v>Volume&amp;Mix</v>
          </cell>
        </row>
        <row r="2">
          <cell r="A2" t="str">
            <v>M</v>
          </cell>
          <cell r="B2" t="str">
            <v>D.Li</v>
          </cell>
          <cell r="C2" t="str">
            <v>Burden</v>
          </cell>
        </row>
        <row r="3">
          <cell r="A3" t="str">
            <v>L</v>
          </cell>
          <cell r="B3" t="str">
            <v>D.Rong</v>
          </cell>
          <cell r="C3" t="str">
            <v>Labor</v>
          </cell>
        </row>
        <row r="4">
          <cell r="B4" t="str">
            <v>Duan</v>
          </cell>
          <cell r="C4" t="str">
            <v>MPV</v>
          </cell>
        </row>
        <row r="5">
          <cell r="B5" t="str">
            <v>G.Ruan</v>
          </cell>
          <cell r="C5" t="str">
            <v>Other</v>
          </cell>
        </row>
        <row r="6">
          <cell r="B6" t="str">
            <v>Guwei</v>
          </cell>
        </row>
        <row r="7">
          <cell r="B7" t="str">
            <v>Han</v>
          </cell>
        </row>
        <row r="8">
          <cell r="B8" t="str">
            <v>I.Ji</v>
          </cell>
        </row>
        <row r="9">
          <cell r="B9" t="str">
            <v>J.Gong</v>
          </cell>
        </row>
        <row r="10">
          <cell r="B10" t="str">
            <v>J.Spillane</v>
          </cell>
        </row>
        <row r="11">
          <cell r="B11" t="str">
            <v>J.Waters</v>
          </cell>
        </row>
        <row r="12">
          <cell r="B12" t="str">
            <v>Jane Yang</v>
          </cell>
        </row>
        <row r="13">
          <cell r="B13" t="str">
            <v>Jason Y.</v>
          </cell>
        </row>
        <row r="14">
          <cell r="B14" t="str">
            <v>M.Modrzejewski</v>
          </cell>
        </row>
        <row r="15">
          <cell r="B15" t="str">
            <v>R.Zhang</v>
          </cell>
        </row>
        <row r="16">
          <cell r="B16" t="str">
            <v>S.Feng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host"/>
      <sheetName val="ResumeAct."/>
      <sheetName val="Activities"/>
      <sheetName val="Category"/>
      <sheetName val="Ph0"/>
      <sheetName val="Ph1"/>
      <sheetName val="Ph2"/>
      <sheetName val="Ph3"/>
      <sheetName val="Ph4"/>
      <sheetName val="Ph5"/>
      <sheetName val="GRPh0"/>
      <sheetName val="GRPh1"/>
      <sheetName val="GRPh2"/>
      <sheetName val="GRPh3"/>
      <sheetName val="GRPh4"/>
      <sheetName val="GRPh5"/>
      <sheetName val="C2C 3.0 Required Documents"/>
      <sheetName val="GR sign Off"/>
    </sheetNames>
    <sheetDataSet>
      <sheetData sheetId="0" refreshError="1"/>
      <sheetData sheetId="1" refreshError="1"/>
      <sheetData sheetId="2" refreshError="1"/>
      <sheetData sheetId="3" refreshError="1">
        <row r="1">
          <cell r="B1" t="str">
            <v>VW 350 D</v>
          </cell>
          <cell r="D1" t="str">
            <v>123</v>
          </cell>
          <cell r="F1" t="str">
            <v>A</v>
          </cell>
          <cell r="G1">
            <v>28</v>
          </cell>
        </row>
        <row r="2">
          <cell r="A2" t="str">
            <v>Golf A5 Brussels</v>
          </cell>
          <cell r="D2">
            <v>37844</v>
          </cell>
          <cell r="F2" t="str">
            <v xml:space="preserve"> 2/ 2/ 2003 - 20:20:43</v>
          </cell>
          <cell r="H2" t="str">
            <v>Euros</v>
          </cell>
        </row>
        <row r="3">
          <cell r="B3" t="str">
            <v>175000</v>
          </cell>
          <cell r="D3">
            <v>37806</v>
          </cell>
          <cell r="F3" t="str">
            <v xml:space="preserve"> 18/ 5/ 2003 - 21:37:04</v>
          </cell>
        </row>
        <row r="4">
          <cell r="B4" t="str">
            <v>777</v>
          </cell>
          <cell r="D4">
            <v>37605</v>
          </cell>
          <cell r="F4" t="str">
            <v xml:space="preserve"> 18/ 5/ 2003 - 21:37:04</v>
          </cell>
          <cell r="H4" t="str">
            <v>1,053</v>
          </cell>
        </row>
        <row r="5">
          <cell r="B5" t="str">
            <v>225</v>
          </cell>
          <cell r="D5">
            <v>37591</v>
          </cell>
          <cell r="F5" t="str">
            <v>Europe</v>
          </cell>
          <cell r="H5" t="str">
            <v>C2C - Revision 3.0</v>
          </cell>
        </row>
        <row r="6">
          <cell r="D6" t="str">
            <v>Andreas Schroeder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FGPRO-INPUT"/>
      <sheetName val="MFGPRO-2"/>
      <sheetName val="NAE-INPUT"/>
      <sheetName val="TAXES"/>
      <sheetName val="YTD ACTvsAOP"/>
      <sheetName val="ACTvsFST"/>
      <sheetName val="1QTRvsAOP"/>
      <sheetName val="ACT00vsACT99"/>
      <sheetName val="FST-INFO"/>
      <sheetName val="Tabelle1"/>
      <sheetName val="Tabelle2"/>
      <sheetName val="Category"/>
      <sheetName val="AOP FY 99"/>
      <sheetName val="Packaging (2)"/>
      <sheetName val="YTD_ACTvsAOP"/>
      <sheetName val="AOP_FY_99"/>
      <sheetName val="Packaging_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S 4"/>
      <sheetName val="BOS 1"/>
      <sheetName val="BOS 2"/>
      <sheetName val="1 WCD List"/>
      <sheetName val="2 TF List"/>
      <sheetName val="3 TF Breakdown"/>
      <sheetName val="4 Cost Pareto"/>
      <sheetName val="Selection"/>
      <sheetName val="CNQ"/>
      <sheetName val="CNQimport"/>
      <sheetName val="CNQexport"/>
      <sheetName val="Flow Chart"/>
      <sheetName val="Instructions"/>
      <sheetName val="TFS Example"/>
      <sheetName val="Invoice Details"/>
      <sheetName val="Process Flow Chart"/>
      <sheetName val="1020 FF"/>
      <sheetName val="3"/>
      <sheetName val="ACTvsFST"/>
      <sheetName val="parameter"/>
      <sheetName val="Prix H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A2" t="str">
            <v>LandRover</v>
          </cell>
          <cell r="B2" t="str">
            <v>ARM Sully</v>
          </cell>
          <cell r="D2" t="str">
            <v>Motor</v>
          </cell>
          <cell r="E2" t="str">
            <v>Tout type</v>
          </cell>
        </row>
        <row r="3">
          <cell r="A3" t="str">
            <v>Nissan</v>
          </cell>
          <cell r="B3" t="str">
            <v>ARM Liberec</v>
          </cell>
          <cell r="D3" t="str">
            <v>(insert above)</v>
          </cell>
          <cell r="E3" t="str">
            <v xml:space="preserve">Autre </v>
          </cell>
        </row>
        <row r="4">
          <cell r="A4" t="str">
            <v>Opel</v>
          </cell>
          <cell r="B4" t="str">
            <v>ARM Abrera</v>
          </cell>
          <cell r="E4" t="str">
            <v>DoorModule</v>
          </cell>
        </row>
        <row r="5">
          <cell r="A5" t="str">
            <v>PSA</v>
          </cell>
          <cell r="B5" t="str">
            <v>Antolin Palencia</v>
          </cell>
          <cell r="E5" t="str">
            <v>BCK84</v>
          </cell>
        </row>
        <row r="6">
          <cell r="A6" t="str">
            <v>Renault</v>
          </cell>
          <cell r="B6" t="str">
            <v>Antolin Douai</v>
          </cell>
          <cell r="E6" t="str">
            <v>B84</v>
          </cell>
        </row>
        <row r="7">
          <cell r="A7" t="str">
            <v>Rover</v>
          </cell>
          <cell r="B7" t="str">
            <v>Antolin Lusitania</v>
          </cell>
          <cell r="E7" t="str">
            <v>PQ24 Polo</v>
          </cell>
        </row>
        <row r="8">
          <cell r="A8" t="str">
            <v>Skoda</v>
          </cell>
          <cell r="B8" t="str">
            <v>VW-BAO</v>
          </cell>
          <cell r="E8" t="str">
            <v>PQ24 Fabia</v>
          </cell>
        </row>
        <row r="9">
          <cell r="A9" t="str">
            <v>VW</v>
          </cell>
          <cell r="B9" t="str">
            <v>VW-BAO (Afr.Sud)</v>
          </cell>
          <cell r="E9" t="str">
            <v>PQ24-II Polo</v>
          </cell>
        </row>
        <row r="10">
          <cell r="A10" t="str">
            <v>Supplier Chargeback</v>
          </cell>
          <cell r="B10" t="str">
            <v>VW-BAO (Brésil)</v>
          </cell>
          <cell r="E10" t="str">
            <v>PQ24-II Fabia</v>
          </cell>
        </row>
        <row r="11">
          <cell r="A11" t="str">
            <v>(insert above)</v>
          </cell>
          <cell r="B11" t="str">
            <v>PSA Vigo</v>
          </cell>
          <cell r="E11" t="str">
            <v>PQ35 Touran</v>
          </cell>
        </row>
        <row r="12">
          <cell r="B12" t="str">
            <v>Heuliez</v>
          </cell>
          <cell r="E12" t="str">
            <v>PQ35 Caddy</v>
          </cell>
        </row>
        <row r="13">
          <cell r="B13" t="str">
            <v>Supplier Chargeback</v>
          </cell>
          <cell r="E13" t="str">
            <v>PQ35 Golf</v>
          </cell>
        </row>
        <row r="14">
          <cell r="B14" t="str">
            <v>Temic</v>
          </cell>
          <cell r="E14" t="str">
            <v>PQ35 Octavia</v>
          </cell>
        </row>
        <row r="15">
          <cell r="B15" t="str">
            <v>MagnetiMarelli</v>
          </cell>
          <cell r="E15" t="str">
            <v>B58</v>
          </cell>
        </row>
        <row r="16">
          <cell r="B16" t="str">
            <v>Kostal</v>
          </cell>
          <cell r="E16" t="str">
            <v>4335 Tigra</v>
          </cell>
        </row>
        <row r="17">
          <cell r="B17" t="str">
            <v>(insert above)</v>
          </cell>
          <cell r="E17" t="str">
            <v>(insert above)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"/>
      <sheetName val="Assumption Sheet"/>
      <sheetName val="Summary - US$"/>
      <sheetName val="Financial Input - US$"/>
      <sheetName val="Cost Estimate - US$"/>
      <sheetName val="Financial Input Local Currency"/>
      <sheetName val="Cost Estimate Local Currency"/>
      <sheetName val="Economic Data"/>
      <sheetName val="G.M.I.M."/>
      <sheetName val="Labor &amp; Burden Rates"/>
      <sheetName val="Fixed Burden"/>
      <sheetName val="Volumes &amp; Localizations"/>
      <sheetName val="Tris"/>
      <sheetName val="Tools &amp; invests depreciation"/>
      <sheetName val="XRates"/>
    </sheetNames>
    <sheetDataSet>
      <sheetData sheetId="0" refreshError="1"/>
      <sheetData sheetId="1"/>
      <sheetData sheetId="2"/>
      <sheetData sheetId="3"/>
      <sheetData sheetId="4" refreshError="1"/>
      <sheetData sheetId="5"/>
      <sheetData sheetId="6"/>
      <sheetData sheetId="7"/>
      <sheetData sheetId="8" refreshError="1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temizedExpenditures"/>
      <sheetName val="OutstandingItems"/>
      <sheetName val="Cost Tracker"/>
      <sheetName val="Cost Tracker (Updated)"/>
      <sheetName val="K1"/>
      <sheetName val="K-2"/>
      <sheetName val="K-3"/>
      <sheetName val="Input1"/>
      <sheetName val="Input2"/>
      <sheetName val="CostSummary"/>
      <sheetName val="EconomicDevelopmentCostSummary"/>
      <sheetName val="PotentialSavingsSummary"/>
      <sheetName val="CostBreakdown(Updated)"/>
      <sheetName val="OriginalCostBreakdown"/>
      <sheetName val="GovernmentAssistance"/>
      <sheetName val="PotentialAPLSavings"/>
      <sheetName val="CommunicationsCosts"/>
      <sheetName val="BankCostsSummary"/>
      <sheetName val="MonthlyBankBuildCosts"/>
      <sheetName val="P221BankCosts"/>
      <sheetName val="P131BankCosts"/>
      <sheetName val="NGMBankCosts"/>
      <sheetName val="KJBankCosts"/>
      <sheetName val="RangerBankCosts"/>
      <sheetName val="MVANBankCosts"/>
      <sheetName val="ProductionForecast"/>
    </sheetNames>
    <sheetDataSet>
      <sheetData sheetId="0" refreshError="1">
        <row r="3">
          <cell r="K3" t="str">
            <v>Compressed Air Service</v>
          </cell>
        </row>
        <row r="4">
          <cell r="K4" t="str">
            <v>Electrical Service</v>
          </cell>
        </row>
        <row r="5">
          <cell r="K5" t="str">
            <v>IT / Communications</v>
          </cell>
        </row>
        <row r="6">
          <cell r="K6" t="str">
            <v>Equipment Move Costs</v>
          </cell>
        </row>
        <row r="7">
          <cell r="K7" t="str">
            <v>General Site Preparation</v>
          </cell>
        </row>
        <row r="8">
          <cell r="K8" t="str">
            <v>Office Area Construction</v>
          </cell>
        </row>
        <row r="9">
          <cell r="K9" t="str">
            <v>Bank Builds</v>
          </cell>
        </row>
        <row r="10">
          <cell r="K10" t="str">
            <v>Contingency (5%)</v>
          </cell>
        </row>
        <row r="11">
          <cell r="K11" t="str">
            <v>Government Assistance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60 Bdn "/>
      <sheetName val="WON (2)"/>
      <sheetName val="US"/>
      <sheetName val="EXCUTIVE SUMMARY"/>
      <sheetName val="TOTAL"/>
      <sheetName val="Doors"/>
      <sheetName val="Sales"/>
      <sheetName val="Quality"/>
      <sheetName val="Office common"/>
      <sheetName val="Cost center"/>
      <sheetName val="Compare"/>
      <sheetName val="Causal"/>
      <sheetName val="R&amp;OPP"/>
      <sheetName val="Assump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>
        <row r="40">
          <cell r="I40">
            <v>0.08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"/>
      <sheetName val="100% Spartanburg"/>
      <sheetName val="BMW F25 Team"/>
      <sheetName val="Part Design"/>
      <sheetName val="Serial Volume"/>
      <sheetName val="Pre - Serial Volume"/>
      <sheetName val="Timing"/>
      <sheetName val="RFQ Timing"/>
      <sheetName val="C2C0"/>
      <sheetName val="Check List"/>
      <sheetName val="C2C0-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1">
          <cell r="A1" t="str">
            <v>Y</v>
          </cell>
        </row>
      </sheetData>
      <sheetData sheetId="9" refreshError="1"/>
      <sheetData sheetId="10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ynthèse de coût pour finances"/>
      <sheetName val="final quote"/>
      <sheetName val="components tools"/>
      <sheetName val="line tools"/>
      <sheetName val="investments "/>
      <sheetName val="components toolings"/>
      <sheetName val="Prix HA"/>
      <sheetName val="mold tools"/>
      <sheetName val="stamp tools"/>
      <sheetName val="Molded Part"/>
      <sheetName val="Stamped Part"/>
      <sheetName val="parameter"/>
      <sheetName val="cabl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eadcount"/>
      <sheetName val="Income Statement"/>
      <sheetName val="std cos"/>
      <sheetName val="Sales &amp; Std Cost"/>
      <sheetName val="Post Rd 1"/>
      <sheetName val="1100"/>
      <sheetName val="DL Hours"/>
      <sheetName val="deprec"/>
      <sheetName val="1805"/>
      <sheetName val="Salary Work"/>
      <sheetName val="1815"/>
      <sheetName val="1840"/>
      <sheetName val="1850"/>
      <sheetName val="1860"/>
      <sheetName val="1880"/>
      <sheetName val="1910"/>
      <sheetName val="XXX1"/>
      <sheetName val="XXX2"/>
      <sheetName val="XXX3"/>
      <sheetName val="Capacity Work"/>
      <sheetName val="Assumptions"/>
      <sheetName val="Fringe"/>
      <sheetName val="Launch Cost"/>
      <sheetName val="Sales &amp; Std Mat'l - Per AR"/>
      <sheetName val="Income Statement-AOP-er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1">
          <cell r="M11">
            <v>8.8333333333333339</v>
          </cell>
        </row>
        <row r="17">
          <cell r="O17">
            <v>11.6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Cost"/>
      <sheetName val="Tools"/>
      <sheetName val="Assumptions"/>
      <sheetName val="Financials"/>
      <sheetName val="Economic Data"/>
      <sheetName val="Depreciation"/>
      <sheetName val="BOM"/>
      <sheetName val="Labor"/>
      <sheetName val="Burden"/>
      <sheetName val="DevCo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rgins"/>
      <sheetName val="Data Input"/>
      <sheetName val="企业表一"/>
      <sheetName val="M-5C"/>
      <sheetName val="M-5A"/>
      <sheetName val="Summary"/>
      <sheetName val="核算项目余额表"/>
      <sheetName val="DATA"/>
      <sheetName val="附注(标准)"/>
      <sheetName val="Data_Inpu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ynthèse de coût pour finances"/>
      <sheetName val="Synthése"/>
      <sheetName val="Lay-out for Profiled DL "/>
      <sheetName val="Lay-out for stamped DL"/>
      <sheetName val="Lay-out for BJ"/>
      <sheetName val="Volume W95"/>
      <sheetName val="final quote"/>
      <sheetName val="components tools"/>
      <sheetName val="components tools Split"/>
      <sheetName val="line tools"/>
      <sheetName val="investments "/>
      <sheetName val="components toolings"/>
      <sheetName val="Prix HA"/>
      <sheetName val="Stamped Part"/>
      <sheetName val="Duties for WR componensts"/>
      <sheetName val="Sealing Transportation database"/>
      <sheetName val="Molded parts datas"/>
      <sheetName val="Molded Part"/>
      <sheetName val="Various datas"/>
      <sheetName val="parameter"/>
      <sheetName val="cabl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6">
          <cell r="C6">
            <v>0</v>
          </cell>
          <cell r="D6">
            <v>0</v>
          </cell>
          <cell r="E6">
            <v>0</v>
          </cell>
          <cell r="F6" t="str">
            <v>0</v>
          </cell>
          <cell r="G6">
            <v>0</v>
          </cell>
          <cell r="H6">
            <v>0</v>
          </cell>
          <cell r="I6">
            <v>0</v>
          </cell>
        </row>
        <row r="7">
          <cell r="C7">
            <v>0</v>
          </cell>
        </row>
        <row r="8">
          <cell r="C8">
            <v>110040</v>
          </cell>
          <cell r="E8" t="str">
            <v>tighteness seal (S10)</v>
          </cell>
          <cell r="F8" t="str">
            <v>TARGET</v>
          </cell>
          <cell r="G8">
            <v>2.1000000000000001E-2</v>
          </cell>
          <cell r="H8">
            <v>2.1000000000000001E-2</v>
          </cell>
        </row>
        <row r="9">
          <cell r="C9">
            <v>110103</v>
          </cell>
          <cell r="E9" t="str">
            <v>BDF MANCHON LG DVG X54 AR MAN</v>
          </cell>
          <cell r="F9" t="str">
            <v>TARGET</v>
          </cell>
          <cell r="G9">
            <v>0.09</v>
          </cell>
          <cell r="H9">
            <v>0.09</v>
          </cell>
        </row>
        <row r="10">
          <cell r="C10">
            <v>110193</v>
          </cell>
          <cell r="E10" t="str">
            <v>drum (S10)</v>
          </cell>
          <cell r="F10" t="str">
            <v>TARGET</v>
          </cell>
          <cell r="G10">
            <v>6.3E-2</v>
          </cell>
          <cell r="H10">
            <v>6.3E-2</v>
          </cell>
        </row>
        <row r="11">
          <cell r="C11">
            <v>110673</v>
          </cell>
          <cell r="E11" t="str">
            <v>handle shaft (A&amp;S 906DC RR)</v>
          </cell>
          <cell r="F11" t="str">
            <v>TARGET</v>
          </cell>
          <cell r="G11">
            <v>0.22900000000000001</v>
          </cell>
          <cell r="H11">
            <v>0.22900000000000001</v>
          </cell>
        </row>
        <row r="12">
          <cell r="C12">
            <v>110683</v>
          </cell>
          <cell r="E12" t="str">
            <v>handle shaft (A&amp;S 906DC FRT)</v>
          </cell>
          <cell r="F12" t="str">
            <v>TARGET</v>
          </cell>
          <cell r="G12">
            <v>0.22900000000000001</v>
          </cell>
          <cell r="H12">
            <v>0.22900000000000001</v>
          </cell>
        </row>
        <row r="13">
          <cell r="C13">
            <v>111408</v>
          </cell>
          <cell r="E13" t="str">
            <v>drum (U60 FRT/RR)</v>
          </cell>
          <cell r="F13" t="str">
            <v>TARGET</v>
          </cell>
          <cell r="G13">
            <v>0.39400000000000002</v>
          </cell>
          <cell r="H13">
            <v>0.39400000000000002</v>
          </cell>
        </row>
        <row r="14">
          <cell r="C14">
            <v>111409</v>
          </cell>
          <cell r="E14" t="str">
            <v>drum (U60 FRT/RR)</v>
          </cell>
          <cell r="F14" t="str">
            <v>TARGET</v>
          </cell>
          <cell r="G14">
            <v>0.39400000000000002</v>
          </cell>
          <cell r="H14">
            <v>0.39400000000000002</v>
          </cell>
        </row>
        <row r="15">
          <cell r="C15">
            <v>111414</v>
          </cell>
          <cell r="E15" t="str">
            <v>screw</v>
          </cell>
          <cell r="F15" t="str">
            <v>BUY</v>
          </cell>
          <cell r="G15">
            <v>2.4897087970727243E-2</v>
          </cell>
          <cell r="H15">
            <v>0.39400000000000002</v>
          </cell>
          <cell r="I15">
            <v>2.4897087970727243E-2</v>
          </cell>
          <cell r="K15" t="str">
            <v>prix non réactualisé</v>
          </cell>
        </row>
        <row r="16">
          <cell r="C16">
            <v>111472</v>
          </cell>
          <cell r="E16" t="str">
            <v>bearing</v>
          </cell>
          <cell r="F16" t="str">
            <v>BUY</v>
          </cell>
          <cell r="G16">
            <v>1.4489999999999999E-2</v>
          </cell>
          <cell r="H16">
            <v>1.4489999999999999E-2</v>
          </cell>
        </row>
        <row r="17">
          <cell r="C17">
            <v>111490</v>
          </cell>
          <cell r="E17" t="str">
            <v>handle shaft (Defender)</v>
          </cell>
          <cell r="F17" t="str">
            <v>TARGET</v>
          </cell>
          <cell r="G17">
            <v>0.22900000000000001</v>
          </cell>
          <cell r="H17">
            <v>0.22900000000000001</v>
          </cell>
        </row>
        <row r="18">
          <cell r="C18">
            <v>111569</v>
          </cell>
          <cell r="E18" t="str">
            <v>Motor Screw</v>
          </cell>
          <cell r="F18" t="str">
            <v>BUY</v>
          </cell>
          <cell r="G18">
            <v>9.7999999999999997E-3</v>
          </cell>
          <cell r="H18">
            <v>9.7999999999999997E-3</v>
          </cell>
        </row>
        <row r="19">
          <cell r="C19">
            <v>111570</v>
          </cell>
          <cell r="E19" t="str">
            <v>counter balance spring</v>
          </cell>
          <cell r="F19" t="str">
            <v>BUY</v>
          </cell>
          <cell r="G19">
            <v>0.1638</v>
          </cell>
          <cell r="H19">
            <v>0.1638</v>
          </cell>
        </row>
        <row r="20">
          <cell r="C20">
            <v>111611</v>
          </cell>
          <cell r="E20" t="str">
            <v>sleeve stop</v>
          </cell>
          <cell r="F20" t="str">
            <v>BUY</v>
          </cell>
          <cell r="G20">
            <v>8.9999999999999993E-3</v>
          </cell>
          <cell r="H20">
            <v>8.9999999999999993E-3</v>
          </cell>
        </row>
        <row r="21">
          <cell r="C21">
            <v>111628</v>
          </cell>
          <cell r="E21" t="str">
            <v>bearing</v>
          </cell>
          <cell r="F21" t="str">
            <v>TARGET</v>
          </cell>
          <cell r="G21">
            <v>7.0000000000000001E-3</v>
          </cell>
          <cell r="I21">
            <v>7.0000000000000001E-3</v>
          </cell>
        </row>
        <row r="22">
          <cell r="C22">
            <v>111935</v>
          </cell>
          <cell r="E22" t="str">
            <v>Fourchette de fixation</v>
          </cell>
          <cell r="F22" t="str">
            <v>BUY</v>
          </cell>
          <cell r="G22">
            <v>1.9E-2</v>
          </cell>
          <cell r="H22">
            <v>1.9E-2</v>
          </cell>
          <cell r="K22" t="str">
            <v>FY04</v>
          </cell>
        </row>
        <row r="23">
          <cell r="C23">
            <v>111972</v>
          </cell>
          <cell r="E23" t="str">
            <v>profil cable dia 1,5 - 75 wires</v>
          </cell>
          <cell r="F23" t="str">
            <v>BUY</v>
          </cell>
          <cell r="G23">
            <v>0.13</v>
          </cell>
          <cell r="H23">
            <v>0.13</v>
          </cell>
          <cell r="K23" t="str">
            <v>FY05</v>
          </cell>
        </row>
        <row r="24">
          <cell r="C24">
            <v>111973</v>
          </cell>
          <cell r="E24" t="str">
            <v>drum (with "gorges profondes")</v>
          </cell>
          <cell r="F24" t="str">
            <v>TARGET</v>
          </cell>
          <cell r="G24">
            <v>6.0999999999999999E-2</v>
          </cell>
          <cell r="H24">
            <v>6.0999999999999999E-2</v>
          </cell>
        </row>
        <row r="25">
          <cell r="C25">
            <v>111974</v>
          </cell>
          <cell r="E25" t="str">
            <v>drum (with "gorges profondes")</v>
          </cell>
          <cell r="F25" t="str">
            <v>TARGET</v>
          </cell>
          <cell r="G25">
            <v>6.0999999999999999E-2</v>
          </cell>
          <cell r="H25">
            <v>6.0999999999999999E-2</v>
          </cell>
        </row>
        <row r="26">
          <cell r="C26">
            <v>111978</v>
          </cell>
          <cell r="E26" t="str">
            <v>tensioner assy (D60)</v>
          </cell>
          <cell r="F26" t="str">
            <v>BUY</v>
          </cell>
          <cell r="G26">
            <v>4.2999999999999997E-2</v>
          </cell>
          <cell r="H26">
            <v>4.2999999999999997E-2</v>
          </cell>
        </row>
        <row r="27">
          <cell r="C27">
            <v>112070</v>
          </cell>
          <cell r="E27" t="str">
            <v>Assy Slider</v>
          </cell>
          <cell r="F27" t="str">
            <v>BUY</v>
          </cell>
          <cell r="G27">
            <v>0.10340000000000001</v>
          </cell>
          <cell r="H27">
            <v>0.10340000000000001</v>
          </cell>
        </row>
        <row r="28">
          <cell r="C28">
            <v>112098</v>
          </cell>
          <cell r="E28" t="str">
            <v>Sector Pivot</v>
          </cell>
          <cell r="F28" t="str">
            <v>BUY</v>
          </cell>
          <cell r="G28">
            <v>5.3899999999999997E-2</v>
          </cell>
          <cell r="H28">
            <v>5.3899999999999997E-2</v>
          </cell>
          <cell r="K28">
            <v>2004</v>
          </cell>
        </row>
        <row r="29">
          <cell r="C29">
            <v>112124</v>
          </cell>
          <cell r="E29" t="str">
            <v>Slider</v>
          </cell>
          <cell r="F29" t="str">
            <v>BUY</v>
          </cell>
          <cell r="G29">
            <v>7.3899999999999993E-2</v>
          </cell>
          <cell r="H29">
            <v>7.3899999999999993E-2</v>
          </cell>
        </row>
        <row r="30">
          <cell r="C30">
            <v>112293</v>
          </cell>
          <cell r="E30" t="str">
            <v>cam</v>
          </cell>
          <cell r="F30" t="str">
            <v>BUY</v>
          </cell>
          <cell r="G30">
            <v>5.9400000000000001E-2</v>
          </cell>
          <cell r="H30">
            <v>5.9400000000000001E-2</v>
          </cell>
        </row>
        <row r="31">
          <cell r="C31">
            <v>112294</v>
          </cell>
          <cell r="E31" t="str">
            <v xml:space="preserve">cam </v>
          </cell>
          <cell r="F31" t="str">
            <v>BUY</v>
          </cell>
          <cell r="G31">
            <v>5.9400000000000001E-2</v>
          </cell>
          <cell r="H31">
            <v>5.9400000000000001E-2</v>
          </cell>
          <cell r="K31" t="str">
            <v>FY05</v>
          </cell>
        </row>
        <row r="32">
          <cell r="C32">
            <v>112299</v>
          </cell>
          <cell r="E32" t="str">
            <v>drum</v>
          </cell>
          <cell r="F32" t="str">
            <v>TARGET</v>
          </cell>
          <cell r="G32">
            <v>5.6000000000000001E-2</v>
          </cell>
          <cell r="H32">
            <v>5.6000000000000001E-2</v>
          </cell>
        </row>
        <row r="33">
          <cell r="C33">
            <v>112300</v>
          </cell>
          <cell r="E33" t="str">
            <v>drum</v>
          </cell>
          <cell r="F33" t="str">
            <v>TARGET</v>
          </cell>
          <cell r="G33">
            <v>5.6000000000000001E-2</v>
          </cell>
          <cell r="H33">
            <v>5.6000000000000001E-2</v>
          </cell>
        </row>
        <row r="34">
          <cell r="C34">
            <v>112301</v>
          </cell>
          <cell r="E34" t="str">
            <v>cover</v>
          </cell>
          <cell r="F34" t="str">
            <v>TARGET</v>
          </cell>
          <cell r="G34">
            <v>0</v>
          </cell>
        </row>
        <row r="35">
          <cell r="C35">
            <v>112311</v>
          </cell>
          <cell r="E35" t="str">
            <v>end fitting</v>
          </cell>
          <cell r="F35" t="str">
            <v>BUY</v>
          </cell>
          <cell r="G35">
            <v>7.4000000000000003E-3</v>
          </cell>
          <cell r="H35">
            <v>7.4000000000000003E-3</v>
          </cell>
          <cell r="K35" t="str">
            <v>FY04</v>
          </cell>
        </row>
        <row r="36">
          <cell r="C36">
            <v>112316</v>
          </cell>
          <cell r="E36" t="str">
            <v>Cursor</v>
          </cell>
          <cell r="F36" t="str">
            <v>BUY</v>
          </cell>
          <cell r="G36">
            <v>0.2311</v>
          </cell>
          <cell r="H36">
            <v>0.2311</v>
          </cell>
        </row>
        <row r="37">
          <cell r="C37">
            <v>112317</v>
          </cell>
          <cell r="E37" t="str">
            <v>Cursor</v>
          </cell>
          <cell r="F37" t="str">
            <v>BUY</v>
          </cell>
          <cell r="G37">
            <v>0.2311</v>
          </cell>
          <cell r="H37">
            <v>0.2311</v>
          </cell>
        </row>
        <row r="38">
          <cell r="C38">
            <v>112357</v>
          </cell>
          <cell r="E38" t="str">
            <v>clutch housing</v>
          </cell>
          <cell r="G38">
            <v>8.4100000000000008E-2</v>
          </cell>
          <cell r="H38">
            <v>8.4100000000000008E-2</v>
          </cell>
        </row>
        <row r="39">
          <cell r="C39">
            <v>112362</v>
          </cell>
          <cell r="E39" t="str">
            <v>clutch cover</v>
          </cell>
          <cell r="F39" t="str">
            <v>TARGET</v>
          </cell>
          <cell r="G39">
            <v>7.5999999999999998E-2</v>
          </cell>
          <cell r="I39">
            <v>7.5999999999999998E-2</v>
          </cell>
        </row>
        <row r="40">
          <cell r="C40">
            <v>112388</v>
          </cell>
          <cell r="E40" t="str">
            <v>handle shaft assy (Vectra Bjo RR)</v>
          </cell>
          <cell r="F40" t="str">
            <v>TARGET</v>
          </cell>
          <cell r="G40">
            <v>0.19400000000000001</v>
          </cell>
          <cell r="H40">
            <v>0.19400000000000001</v>
          </cell>
        </row>
        <row r="41">
          <cell r="C41">
            <v>112403</v>
          </cell>
          <cell r="E41" t="str">
            <v>Pinion</v>
          </cell>
          <cell r="F41" t="str">
            <v>BUY</v>
          </cell>
          <cell r="G41">
            <v>6.2E-2</v>
          </cell>
          <cell r="H41">
            <v>6.2E-2</v>
          </cell>
          <cell r="K41" t="str">
            <v>FY01</v>
          </cell>
        </row>
        <row r="42">
          <cell r="C42">
            <v>112445</v>
          </cell>
          <cell r="E42" t="str">
            <v>stop</v>
          </cell>
          <cell r="G42">
            <v>0</v>
          </cell>
        </row>
        <row r="43">
          <cell r="C43">
            <v>112446</v>
          </cell>
          <cell r="E43" t="str">
            <v>cable guide</v>
          </cell>
          <cell r="G43">
            <v>0</v>
          </cell>
        </row>
        <row r="44">
          <cell r="C44">
            <v>112447</v>
          </cell>
          <cell r="E44" t="str">
            <v>cable guide</v>
          </cell>
          <cell r="G44">
            <v>0</v>
          </cell>
        </row>
        <row r="45">
          <cell r="C45">
            <v>112448</v>
          </cell>
          <cell r="E45" t="str">
            <v>cable guide</v>
          </cell>
          <cell r="G45">
            <v>0</v>
          </cell>
        </row>
        <row r="46">
          <cell r="C46">
            <v>112449</v>
          </cell>
          <cell r="E46" t="str">
            <v>cable guide</v>
          </cell>
          <cell r="G46">
            <v>0</v>
          </cell>
        </row>
        <row r="47">
          <cell r="C47">
            <v>112465</v>
          </cell>
          <cell r="E47" t="str">
            <v>sleeve stop</v>
          </cell>
          <cell r="G47">
            <v>0</v>
          </cell>
        </row>
        <row r="48">
          <cell r="C48">
            <v>112467</v>
          </cell>
          <cell r="E48" t="str">
            <v>tensioner assy</v>
          </cell>
          <cell r="F48" t="str">
            <v>BUY</v>
          </cell>
          <cell r="G48">
            <v>7.9000000000000001E-2</v>
          </cell>
          <cell r="H48">
            <v>7.9000000000000001E-2</v>
          </cell>
          <cell r="K48" t="str">
            <v>FY04</v>
          </cell>
        </row>
        <row r="49">
          <cell r="C49">
            <v>112510</v>
          </cell>
          <cell r="E49" t="str">
            <v>handle shaft assy (EQ)</v>
          </cell>
          <cell r="F49" t="str">
            <v>TARGET</v>
          </cell>
          <cell r="G49">
            <v>0.311</v>
          </cell>
          <cell r="H49">
            <v>0.311</v>
          </cell>
        </row>
        <row r="50">
          <cell r="C50">
            <v>112541</v>
          </cell>
          <cell r="E50" t="str">
            <v>cylindrical sleeve profil</v>
          </cell>
          <cell r="F50" t="str">
            <v>BUY</v>
          </cell>
          <cell r="G50">
            <v>0.32290000000000002</v>
          </cell>
          <cell r="H50">
            <v>0.32290000000000002</v>
          </cell>
          <cell r="K50" t="str">
            <v>FY04</v>
          </cell>
        </row>
        <row r="51">
          <cell r="C51">
            <v>112550</v>
          </cell>
          <cell r="E51" t="str">
            <v>handle shaft overmolded (X Corsa)</v>
          </cell>
          <cell r="F51" t="str">
            <v>TARGET</v>
          </cell>
          <cell r="G51">
            <v>0.255</v>
          </cell>
          <cell r="H51">
            <v>0.255</v>
          </cell>
        </row>
        <row r="52">
          <cell r="C52">
            <v>112552</v>
          </cell>
          <cell r="E52" t="str">
            <v>Palier WR X Vectra Man</v>
          </cell>
          <cell r="F52" t="str">
            <v>BUY</v>
          </cell>
          <cell r="G52">
            <v>0.02</v>
          </cell>
          <cell r="H52">
            <v>0.02</v>
          </cell>
        </row>
        <row r="53">
          <cell r="C53">
            <v>112658</v>
          </cell>
          <cell r="E53" t="str">
            <v>cable guide assy</v>
          </cell>
          <cell r="G53">
            <v>0</v>
          </cell>
        </row>
        <row r="54">
          <cell r="C54">
            <v>112659</v>
          </cell>
          <cell r="E54" t="str">
            <v>cable guide assy</v>
          </cell>
          <cell r="G54">
            <v>0</v>
          </cell>
        </row>
        <row r="55">
          <cell r="C55">
            <v>112715</v>
          </cell>
          <cell r="E55" t="str">
            <v>Pulley</v>
          </cell>
          <cell r="F55" t="str">
            <v>BUY</v>
          </cell>
          <cell r="G55">
            <v>3.7900000000000003E-2</v>
          </cell>
          <cell r="H55">
            <v>3.7900000000000003E-2</v>
          </cell>
        </row>
        <row r="56">
          <cell r="C56">
            <v>112748</v>
          </cell>
          <cell r="E56" t="str">
            <v>Shaft</v>
          </cell>
          <cell r="F56" t="str">
            <v>BUY</v>
          </cell>
          <cell r="G56">
            <v>0.13300000000000001</v>
          </cell>
          <cell r="H56">
            <v>0.13300000000000001</v>
          </cell>
        </row>
        <row r="57">
          <cell r="C57">
            <v>112751</v>
          </cell>
          <cell r="E57" t="str">
            <v>Spacer</v>
          </cell>
          <cell r="F57" t="str">
            <v>BUY</v>
          </cell>
          <cell r="G57">
            <v>0.03</v>
          </cell>
          <cell r="H57">
            <v>0.03</v>
          </cell>
        </row>
        <row r="58">
          <cell r="C58">
            <v>112754</v>
          </cell>
          <cell r="E58" t="str">
            <v>Cursor</v>
          </cell>
          <cell r="F58" t="str">
            <v>BUY</v>
          </cell>
          <cell r="G58">
            <v>4.7E-2</v>
          </cell>
          <cell r="H58">
            <v>4.7E-2</v>
          </cell>
        </row>
        <row r="59">
          <cell r="C59">
            <v>112766</v>
          </cell>
          <cell r="E59" t="str">
            <v>spacer</v>
          </cell>
          <cell r="F59" t="str">
            <v>BUY</v>
          </cell>
          <cell r="G59">
            <v>0.01</v>
          </cell>
          <cell r="H59">
            <v>0.01</v>
          </cell>
        </row>
        <row r="60">
          <cell r="C60">
            <v>112767</v>
          </cell>
          <cell r="E60" t="str">
            <v>pulley (dia 45)</v>
          </cell>
          <cell r="F60" t="str">
            <v>BUY</v>
          </cell>
          <cell r="G60">
            <v>6.88E-2</v>
          </cell>
          <cell r="H60">
            <v>6.88E-2</v>
          </cell>
        </row>
        <row r="61">
          <cell r="C61">
            <v>112771</v>
          </cell>
          <cell r="E61" t="str">
            <v>spring (for Bjo)</v>
          </cell>
          <cell r="F61" t="str">
            <v>TARGET</v>
          </cell>
          <cell r="G61">
            <v>2.4E-2</v>
          </cell>
          <cell r="H61">
            <v>2.4E-2</v>
          </cell>
        </row>
        <row r="62">
          <cell r="C62">
            <v>112772</v>
          </cell>
          <cell r="E62" t="str">
            <v>spring stop (for Bjo)</v>
          </cell>
          <cell r="F62" t="str">
            <v>BUY</v>
          </cell>
          <cell r="G62">
            <v>0.26669999999999999</v>
          </cell>
          <cell r="H62">
            <v>0.26669999999999999</v>
          </cell>
          <cell r="K62" t="str">
            <v>FY04</v>
          </cell>
        </row>
        <row r="63">
          <cell r="C63">
            <v>112804</v>
          </cell>
          <cell r="E63" t="str">
            <v>handle shaft (A&amp;S X76 FRT)</v>
          </cell>
          <cell r="F63" t="str">
            <v>TARGET</v>
          </cell>
          <cell r="G63">
            <v>0.22900000000000001</v>
          </cell>
          <cell r="H63">
            <v>0.22900000000000001</v>
          </cell>
        </row>
        <row r="64">
          <cell r="C64">
            <v>112808</v>
          </cell>
          <cell r="E64" t="str">
            <v>slider assy</v>
          </cell>
          <cell r="F64" t="str">
            <v>BUY</v>
          </cell>
          <cell r="G64">
            <v>5.4119E-2</v>
          </cell>
          <cell r="H64">
            <v>5.4119E-2</v>
          </cell>
        </row>
        <row r="65">
          <cell r="C65">
            <v>112916</v>
          </cell>
          <cell r="E65" t="str">
            <v>drive finger</v>
          </cell>
          <cell r="F65" t="str">
            <v>BUY</v>
          </cell>
          <cell r="G65">
            <v>7.2899999999999993E-2</v>
          </cell>
          <cell r="H65">
            <v>7.2899999999999993E-2</v>
          </cell>
        </row>
        <row r="66">
          <cell r="C66">
            <v>112958</v>
          </cell>
          <cell r="E66" t="str">
            <v>drum (N61 Banjo RR)</v>
          </cell>
          <cell r="F66" t="str">
            <v>TARGET</v>
          </cell>
          <cell r="G66">
            <v>7.0000000000000007E-2</v>
          </cell>
          <cell r="H66">
            <v>7.0000000000000007E-2</v>
          </cell>
        </row>
        <row r="67">
          <cell r="C67">
            <v>112959</v>
          </cell>
          <cell r="E67" t="str">
            <v>drum (N61 Banjo RR)</v>
          </cell>
          <cell r="F67" t="str">
            <v>TARGET</v>
          </cell>
          <cell r="G67">
            <v>7.0000000000000007E-2</v>
          </cell>
          <cell r="H67">
            <v>7.0000000000000007E-2</v>
          </cell>
        </row>
        <row r="68">
          <cell r="C68">
            <v>112961</v>
          </cell>
          <cell r="E68" t="str">
            <v>handle shaft assy (Bjo N61 RR)</v>
          </cell>
          <cell r="F68" t="str">
            <v>TARGET</v>
          </cell>
          <cell r="G68">
            <v>0.18</v>
          </cell>
          <cell r="H68">
            <v>0.18</v>
          </cell>
        </row>
        <row r="69">
          <cell r="C69">
            <v>113019</v>
          </cell>
          <cell r="E69" t="str">
            <v>manual cover</v>
          </cell>
          <cell r="F69" t="str">
            <v>BUY</v>
          </cell>
          <cell r="G69">
            <v>0.10290000000000001</v>
          </cell>
          <cell r="H69">
            <v>0.10290000000000001</v>
          </cell>
          <cell r="K69" t="str">
            <v>FY05</v>
          </cell>
        </row>
        <row r="70">
          <cell r="C70">
            <v>113021</v>
          </cell>
          <cell r="E70" t="str">
            <v>manual drum</v>
          </cell>
          <cell r="F70" t="str">
            <v>TARGET</v>
          </cell>
          <cell r="G70">
            <v>5.8999999999999997E-2</v>
          </cell>
          <cell r="I70">
            <v>5.8999999999999997E-2</v>
          </cell>
        </row>
        <row r="71">
          <cell r="C71">
            <v>113049</v>
          </cell>
          <cell r="E71" t="str">
            <v>tensioner assy</v>
          </cell>
          <cell r="F71" t="str">
            <v>BUY</v>
          </cell>
          <cell r="G71">
            <v>7.9000000000000001E-2</v>
          </cell>
          <cell r="H71">
            <v>7.9000000000000001E-2</v>
          </cell>
          <cell r="K71" t="str">
            <v>FY04</v>
          </cell>
        </row>
        <row r="72">
          <cell r="C72">
            <v>113053</v>
          </cell>
          <cell r="E72" t="str">
            <v>stop</v>
          </cell>
          <cell r="G72">
            <v>0</v>
          </cell>
        </row>
        <row r="73">
          <cell r="C73">
            <v>113054</v>
          </cell>
          <cell r="E73" t="str">
            <v>star sleeve profil</v>
          </cell>
          <cell r="F73" t="str">
            <v>BUY</v>
          </cell>
          <cell r="G73">
            <v>0.27550490075227052</v>
          </cell>
          <cell r="H73">
            <v>0.27550490075227052</v>
          </cell>
        </row>
        <row r="74">
          <cell r="C74">
            <v>113057</v>
          </cell>
          <cell r="E74" t="str">
            <v>cable guide</v>
          </cell>
          <cell r="G74">
            <v>0</v>
          </cell>
        </row>
        <row r="75">
          <cell r="C75">
            <v>113058</v>
          </cell>
          <cell r="E75" t="str">
            <v>cable guide</v>
          </cell>
          <cell r="G75">
            <v>0</v>
          </cell>
        </row>
        <row r="76">
          <cell r="C76">
            <v>113114</v>
          </cell>
          <cell r="E76" t="str">
            <v>sleeve stop (A4)</v>
          </cell>
          <cell r="F76" t="str">
            <v>TARGET</v>
          </cell>
          <cell r="G76">
            <v>2.1999999999999999E-2</v>
          </cell>
          <cell r="H76">
            <v>2.1999999999999999E-2</v>
          </cell>
        </row>
        <row r="77">
          <cell r="C77">
            <v>113115</v>
          </cell>
          <cell r="E77" t="str">
            <v>end fitting (A4)</v>
          </cell>
          <cell r="F77" t="str">
            <v>TARGET</v>
          </cell>
          <cell r="G77">
            <v>4.5999999999999999E-2</v>
          </cell>
          <cell r="H77">
            <v>4.5999999999999999E-2</v>
          </cell>
        </row>
        <row r="78">
          <cell r="C78">
            <v>113117</v>
          </cell>
          <cell r="E78" t="str">
            <v>spring (for Bjo)</v>
          </cell>
          <cell r="F78" t="str">
            <v>TARGET</v>
          </cell>
          <cell r="G78">
            <v>2.9000000000000001E-2</v>
          </cell>
          <cell r="H78">
            <v>2.9000000000000001E-2</v>
          </cell>
        </row>
        <row r="79">
          <cell r="C79">
            <v>113132</v>
          </cell>
          <cell r="E79" t="str">
            <v>handle shaft (A4)</v>
          </cell>
          <cell r="F79" t="str">
            <v>TARGET</v>
          </cell>
          <cell r="G79">
            <v>0.27100000000000002</v>
          </cell>
          <cell r="H79">
            <v>0.27100000000000002</v>
          </cell>
        </row>
        <row r="80">
          <cell r="C80">
            <v>113465</v>
          </cell>
          <cell r="E80" t="str">
            <v>tensioner assy (A4)</v>
          </cell>
          <cell r="F80" t="str">
            <v>TARGET</v>
          </cell>
          <cell r="G80">
            <v>3.5999999999999997E-2</v>
          </cell>
          <cell r="H80">
            <v>3.5999999999999997E-2</v>
          </cell>
        </row>
        <row r="81">
          <cell r="C81">
            <v>113484</v>
          </cell>
          <cell r="E81" t="str">
            <v>Cursor</v>
          </cell>
          <cell r="F81" t="str">
            <v>BUY</v>
          </cell>
          <cell r="G81">
            <v>0.253</v>
          </cell>
          <cell r="H81">
            <v>0.253</v>
          </cell>
        </row>
        <row r="82">
          <cell r="C82">
            <v>113539</v>
          </cell>
          <cell r="E82" t="str">
            <v>gear</v>
          </cell>
          <cell r="F82" t="str">
            <v>BUY</v>
          </cell>
          <cell r="G82">
            <v>0.18140000000000001</v>
          </cell>
          <cell r="H82">
            <v>0.18140000000000001</v>
          </cell>
          <cell r="K82" t="str">
            <v>FY05</v>
          </cell>
        </row>
        <row r="83">
          <cell r="C83">
            <v>113541</v>
          </cell>
          <cell r="E83" t="str">
            <v>pinion</v>
          </cell>
          <cell r="G83">
            <v>8.7999999999999995E-2</v>
          </cell>
          <cell r="H83">
            <v>8.7999999999999995E-2</v>
          </cell>
        </row>
        <row r="84">
          <cell r="C84">
            <v>113730</v>
          </cell>
          <cell r="E84" t="str">
            <v>Wire Harness NGM PSA</v>
          </cell>
          <cell r="F84" t="str">
            <v>BUY</v>
          </cell>
          <cell r="G84">
            <v>0.20799999999999999</v>
          </cell>
          <cell r="H84">
            <v>0.20799999999999999</v>
          </cell>
        </row>
        <row r="85">
          <cell r="C85">
            <v>113815</v>
          </cell>
          <cell r="E85" t="str">
            <v>handle shaft (SL T11 RR)</v>
          </cell>
          <cell r="F85" t="str">
            <v>TARGET</v>
          </cell>
          <cell r="G85">
            <v>0.23699999999999999</v>
          </cell>
          <cell r="H85">
            <v>0.23699999999999999</v>
          </cell>
        </row>
        <row r="86">
          <cell r="C86">
            <v>113824</v>
          </cell>
          <cell r="E86" t="str">
            <v>Cursor T11</v>
          </cell>
          <cell r="F86" t="str">
            <v>BUY</v>
          </cell>
          <cell r="G86">
            <v>0.17699999999999999</v>
          </cell>
          <cell r="H86">
            <v>0.17699999999999999</v>
          </cell>
          <cell r="K86" t="str">
            <v>FY04</v>
          </cell>
        </row>
        <row r="87">
          <cell r="C87">
            <v>113826</v>
          </cell>
          <cell r="E87" t="str">
            <v>Stop T11</v>
          </cell>
          <cell r="F87" t="str">
            <v>BUY</v>
          </cell>
          <cell r="G87">
            <v>6.0999999999999999E-2</v>
          </cell>
          <cell r="H87">
            <v>6.0999999999999999E-2</v>
          </cell>
        </row>
        <row r="88">
          <cell r="C88">
            <v>113828</v>
          </cell>
          <cell r="E88" t="str">
            <v>cam spring</v>
          </cell>
          <cell r="F88" t="str">
            <v>BUY</v>
          </cell>
          <cell r="G88">
            <v>2.8583999999999998E-2</v>
          </cell>
          <cell r="H88">
            <v>2.8583999999999998E-2</v>
          </cell>
        </row>
        <row r="89">
          <cell r="C89">
            <v>113829</v>
          </cell>
          <cell r="E89" t="str">
            <v>cam spring</v>
          </cell>
          <cell r="F89" t="str">
            <v>BUY</v>
          </cell>
          <cell r="G89">
            <v>3.4834999999999998E-2</v>
          </cell>
          <cell r="H89">
            <v>3.4834999999999998E-2</v>
          </cell>
        </row>
        <row r="90">
          <cell r="C90">
            <v>113972</v>
          </cell>
          <cell r="E90" t="str">
            <v>Anti-noise Foam</v>
          </cell>
          <cell r="F90" t="str">
            <v>BUY</v>
          </cell>
          <cell r="G90">
            <v>4.36E-2</v>
          </cell>
          <cell r="H90">
            <v>4.36E-2</v>
          </cell>
          <cell r="K90" t="str">
            <v>FY04</v>
          </cell>
        </row>
        <row r="91">
          <cell r="C91">
            <v>113981</v>
          </cell>
          <cell r="E91" t="str">
            <v>crimp screw</v>
          </cell>
          <cell r="F91" t="str">
            <v>BUY</v>
          </cell>
          <cell r="G91">
            <v>1.6219999999999998E-2</v>
          </cell>
          <cell r="H91">
            <v>1.6219999999999998E-2</v>
          </cell>
        </row>
        <row r="92">
          <cell r="C92">
            <v>113981</v>
          </cell>
          <cell r="E92" t="str">
            <v>crimp screw</v>
          </cell>
          <cell r="F92" t="str">
            <v>BUY</v>
          </cell>
          <cell r="G92">
            <v>1.6219999999999998E-2</v>
          </cell>
          <cell r="H92">
            <v>1.6219999999999998E-2</v>
          </cell>
        </row>
        <row r="93">
          <cell r="C93">
            <v>114084</v>
          </cell>
          <cell r="E93" t="str">
            <v>clamp seal</v>
          </cell>
          <cell r="F93" t="str">
            <v>BUY</v>
          </cell>
          <cell r="G93">
            <v>4.1925999999999998E-2</v>
          </cell>
          <cell r="H93">
            <v>4.1925999999999998E-2</v>
          </cell>
        </row>
        <row r="94">
          <cell r="C94">
            <v>114085</v>
          </cell>
          <cell r="E94" t="str">
            <v>clamp</v>
          </cell>
          <cell r="G94">
            <v>0</v>
          </cell>
        </row>
        <row r="95">
          <cell r="C95">
            <v>114085</v>
          </cell>
          <cell r="E95" t="str">
            <v>clamp</v>
          </cell>
          <cell r="G95">
            <v>0</v>
          </cell>
        </row>
        <row r="96">
          <cell r="C96">
            <v>114169</v>
          </cell>
          <cell r="E96" t="str">
            <v>sleeve stop (fork)</v>
          </cell>
          <cell r="F96" t="str">
            <v>BUY</v>
          </cell>
          <cell r="G96">
            <v>2.6100000000000002E-2</v>
          </cell>
          <cell r="H96">
            <v>2.6100000000000002E-2</v>
          </cell>
          <cell r="K96" t="str">
            <v>FY04</v>
          </cell>
        </row>
        <row r="97">
          <cell r="C97">
            <v>114247</v>
          </cell>
          <cell r="E97" t="str">
            <v>tighteness seal (T11)</v>
          </cell>
          <cell r="F97" t="str">
            <v>TARGET</v>
          </cell>
          <cell r="G97">
            <v>7.8E-2</v>
          </cell>
          <cell r="H97">
            <v>7.8E-2</v>
          </cell>
        </row>
        <row r="98">
          <cell r="C98">
            <v>114285</v>
          </cell>
          <cell r="E98" t="str">
            <v>drum (dia 50mm)</v>
          </cell>
          <cell r="F98" t="str">
            <v>BUY</v>
          </cell>
          <cell r="G98">
            <v>9.9000000000000005E-2</v>
          </cell>
          <cell r="H98">
            <v>0.109</v>
          </cell>
          <cell r="I98">
            <v>9.9000000000000005E-2</v>
          </cell>
          <cell r="K98">
            <v>38139</v>
          </cell>
        </row>
        <row r="99">
          <cell r="C99">
            <v>114286</v>
          </cell>
          <cell r="E99" t="str">
            <v>drum (dia 50mm)</v>
          </cell>
          <cell r="F99" t="str">
            <v>BUY</v>
          </cell>
          <cell r="G99">
            <v>9.9000000000000005E-2</v>
          </cell>
          <cell r="H99">
            <v>0.109</v>
          </cell>
          <cell r="I99">
            <v>9.9000000000000005E-2</v>
          </cell>
          <cell r="K99">
            <v>38139</v>
          </cell>
        </row>
        <row r="100">
          <cell r="C100">
            <v>114371</v>
          </cell>
          <cell r="E100" t="str">
            <v>75 fils Chrysenthemum</v>
          </cell>
          <cell r="F100" t="str">
            <v>BUY</v>
          </cell>
          <cell r="G100">
            <v>0.14580000000000001</v>
          </cell>
          <cell r="H100">
            <v>0.14580000000000001</v>
          </cell>
          <cell r="K100" t="str">
            <v>FY05</v>
          </cell>
        </row>
        <row r="101">
          <cell r="C101">
            <v>114372</v>
          </cell>
          <cell r="E101" t="str">
            <v>75 fils Kiku</v>
          </cell>
          <cell r="F101" t="str">
            <v>BUY</v>
          </cell>
          <cell r="G101">
            <v>0.14580000000000001</v>
          </cell>
          <cell r="H101">
            <v>0.14580000000000001</v>
          </cell>
          <cell r="K101" t="str">
            <v>FY05</v>
          </cell>
        </row>
        <row r="102">
          <cell r="C102">
            <v>114478</v>
          </cell>
          <cell r="E102" t="str">
            <v>sleeve stop</v>
          </cell>
          <cell r="F102" t="str">
            <v>BUY</v>
          </cell>
          <cell r="G102">
            <v>2.5999999999999999E-2</v>
          </cell>
          <cell r="H102">
            <v>2.5999999999999999E-2</v>
          </cell>
          <cell r="K102" t="str">
            <v>FY04</v>
          </cell>
        </row>
        <row r="103">
          <cell r="C103">
            <v>114479</v>
          </cell>
          <cell r="E103" t="str">
            <v>Stop</v>
          </cell>
          <cell r="F103" t="str">
            <v>MAKE</v>
          </cell>
          <cell r="G103">
            <v>2.5999999999999999E-2</v>
          </cell>
          <cell r="H103">
            <v>2.5999999999999999E-2</v>
          </cell>
        </row>
        <row r="104">
          <cell r="C104">
            <v>114481</v>
          </cell>
          <cell r="E104" t="str">
            <v>Bras LG 1B VE184 AV MAN/ELEC</v>
          </cell>
          <cell r="F104" t="str">
            <v>BUY</v>
          </cell>
          <cell r="G104">
            <v>0.57330000000000003</v>
          </cell>
          <cell r="H104">
            <v>0.57330000000000003</v>
          </cell>
          <cell r="K104" t="str">
            <v>FY05</v>
          </cell>
        </row>
        <row r="105">
          <cell r="C105">
            <v>114482</v>
          </cell>
          <cell r="E105" t="str">
            <v>Secteur LG 1B VE184 AV ELEC</v>
          </cell>
          <cell r="F105" t="str">
            <v>BUY</v>
          </cell>
          <cell r="G105">
            <v>0.41039999999999999</v>
          </cell>
          <cell r="H105">
            <v>0.41039999999999999</v>
          </cell>
        </row>
        <row r="106">
          <cell r="C106">
            <v>114483</v>
          </cell>
          <cell r="E106" t="str">
            <v>Secteur LG 1B VE184 AV ELEC</v>
          </cell>
          <cell r="F106" t="str">
            <v>BUY</v>
          </cell>
          <cell r="G106">
            <v>0.51459999999999995</v>
          </cell>
          <cell r="H106">
            <v>0.51459999999999995</v>
          </cell>
          <cell r="K106" t="str">
            <v>FY05</v>
          </cell>
        </row>
        <row r="107">
          <cell r="C107">
            <v>114491</v>
          </cell>
          <cell r="E107" t="str">
            <v>handle shaft (A&amp;S VE184 FRT)</v>
          </cell>
          <cell r="F107" t="str">
            <v>TARGET</v>
          </cell>
          <cell r="G107">
            <v>0.25900000000000001</v>
          </cell>
          <cell r="H107">
            <v>0.25900000000000001</v>
          </cell>
        </row>
        <row r="108">
          <cell r="C108">
            <v>114493</v>
          </cell>
          <cell r="E108" t="str">
            <v>Faisceau LG 1B VE184 AV ELEC</v>
          </cell>
          <cell r="F108" t="str">
            <v>BUY</v>
          </cell>
          <cell r="G108">
            <v>0.81410000000000005</v>
          </cell>
          <cell r="H108">
            <v>0.81410000000000005</v>
          </cell>
        </row>
        <row r="109">
          <cell r="C109">
            <v>114560</v>
          </cell>
          <cell r="E109" t="str">
            <v>Washer</v>
          </cell>
          <cell r="F109" t="str">
            <v>BUY</v>
          </cell>
          <cell r="G109">
            <v>2.5300000000000001E-3</v>
          </cell>
          <cell r="H109">
            <v>2.5300000000000001E-3</v>
          </cell>
          <cell r="K109" t="str">
            <v>FY05</v>
          </cell>
        </row>
        <row r="110">
          <cell r="C110">
            <v>114607</v>
          </cell>
          <cell r="E110" t="str">
            <v>Pignon 8dts 1B VE184 AV ELEC</v>
          </cell>
          <cell r="F110" t="str">
            <v>BUY</v>
          </cell>
          <cell r="G110">
            <v>0.46050000000000002</v>
          </cell>
          <cell r="H110">
            <v>0.46050000000000002</v>
          </cell>
        </row>
        <row r="111">
          <cell r="C111">
            <v>114608</v>
          </cell>
          <cell r="E111" t="str">
            <v>pinion (adapted for NGM : with 3 pin)</v>
          </cell>
          <cell r="F111" t="str">
            <v>BUY</v>
          </cell>
          <cell r="G111">
            <v>0.36720000000000003</v>
          </cell>
          <cell r="H111">
            <v>0.36720000000000003</v>
          </cell>
        </row>
        <row r="112">
          <cell r="C112">
            <v>114645</v>
          </cell>
          <cell r="E112" t="str">
            <v>Plat Tot Ass 1B VE 184 AVG Man</v>
          </cell>
          <cell r="F112" t="str">
            <v>BUY</v>
          </cell>
          <cell r="G112">
            <v>1.202</v>
          </cell>
          <cell r="H112">
            <v>1.202</v>
          </cell>
        </row>
        <row r="113">
          <cell r="C113">
            <v>114706</v>
          </cell>
          <cell r="E113" t="str">
            <v>Assy Slider</v>
          </cell>
          <cell r="F113" t="str">
            <v>BUY</v>
          </cell>
          <cell r="G113">
            <v>0.309</v>
          </cell>
          <cell r="H113">
            <v>0.309</v>
          </cell>
        </row>
        <row r="114">
          <cell r="C114">
            <v>114709</v>
          </cell>
          <cell r="E114" t="str">
            <v>Sector S4300</v>
          </cell>
          <cell r="F114" t="str">
            <v>BUY</v>
          </cell>
          <cell r="G114">
            <v>0.60799999999999998</v>
          </cell>
          <cell r="H114">
            <v>0.60799999999999998</v>
          </cell>
        </row>
        <row r="115">
          <cell r="C115">
            <v>114712</v>
          </cell>
          <cell r="E115" t="str">
            <v>Coulisse S4300 AV</v>
          </cell>
          <cell r="F115" t="str">
            <v>BUY</v>
          </cell>
          <cell r="G115">
            <v>0.10589999999999999</v>
          </cell>
          <cell r="I115">
            <v>0.10589999999999999</v>
          </cell>
        </row>
        <row r="116">
          <cell r="C116">
            <v>114722</v>
          </cell>
          <cell r="E116" t="str">
            <v>main pivot</v>
          </cell>
          <cell r="F116" t="str">
            <v>BUY</v>
          </cell>
          <cell r="G116">
            <v>2.4199999999999999E-2</v>
          </cell>
          <cell r="H116">
            <v>2.4199999999999999E-2</v>
          </cell>
        </row>
        <row r="117">
          <cell r="C117">
            <v>114727</v>
          </cell>
          <cell r="E117" t="str">
            <v>handle shaft (HS FRT 3/5 doors)</v>
          </cell>
          <cell r="F117" t="str">
            <v>TARGET</v>
          </cell>
          <cell r="G117">
            <v>0.32200000000000001</v>
          </cell>
          <cell r="H117">
            <v>0.32200000000000001</v>
          </cell>
        </row>
        <row r="118">
          <cell r="C118">
            <v>114771</v>
          </cell>
          <cell r="E118" t="str">
            <v>handle shaft (HS RR)</v>
          </cell>
          <cell r="F118" t="str">
            <v>TARGET</v>
          </cell>
          <cell r="G118">
            <v>0.22900000000000001</v>
          </cell>
          <cell r="H118">
            <v>0.22900000000000001</v>
          </cell>
        </row>
        <row r="119">
          <cell r="C119">
            <v>114778</v>
          </cell>
          <cell r="E119" t="str">
            <v>compression spring</v>
          </cell>
          <cell r="F119" t="str">
            <v>BUY</v>
          </cell>
          <cell r="G119">
            <v>3.0000000000000001E-3</v>
          </cell>
          <cell r="H119">
            <v>3.0000000000000001E-3</v>
          </cell>
        </row>
        <row r="120">
          <cell r="C120">
            <v>114903</v>
          </cell>
          <cell r="E120" t="str">
            <v>glass eyelett assy</v>
          </cell>
          <cell r="F120" t="str">
            <v>BUY</v>
          </cell>
          <cell r="G120">
            <v>0.1198</v>
          </cell>
          <cell r="I120">
            <v>0.1198</v>
          </cell>
        </row>
        <row r="121">
          <cell r="C121">
            <v>114911</v>
          </cell>
          <cell r="E121" t="str">
            <v>Plat ass LG 1B VE184 AV ELEC</v>
          </cell>
          <cell r="F121" t="str">
            <v>BUY</v>
          </cell>
          <cell r="G121">
            <v>0.68779999999999997</v>
          </cell>
          <cell r="H121">
            <v>0.68779999999999997</v>
          </cell>
        </row>
        <row r="122">
          <cell r="C122">
            <v>114952</v>
          </cell>
          <cell r="E122" t="str">
            <v>Pierecd nut</v>
          </cell>
          <cell r="F122" t="str">
            <v>BUY</v>
          </cell>
          <cell r="G122">
            <v>3.5000000000000003E-2</v>
          </cell>
          <cell r="H122">
            <v>3.5000000000000003E-2</v>
          </cell>
        </row>
        <row r="123">
          <cell r="C123">
            <v>115016</v>
          </cell>
          <cell r="E123" t="str">
            <v>handle shaft (prod PSA)</v>
          </cell>
          <cell r="F123" t="str">
            <v>TARGET</v>
          </cell>
          <cell r="G123">
            <v>0.16700000000000001</v>
          </cell>
          <cell r="H123">
            <v>0.16700000000000001</v>
          </cell>
        </row>
        <row r="124">
          <cell r="C124">
            <v>115034</v>
          </cell>
          <cell r="E124" t="str">
            <v>spring (prod PSA)</v>
          </cell>
          <cell r="F124" t="str">
            <v>TARGET</v>
          </cell>
          <cell r="G124">
            <v>2.5999999999999999E-2</v>
          </cell>
          <cell r="H124">
            <v>2.5999999999999999E-2</v>
          </cell>
        </row>
        <row r="125">
          <cell r="C125">
            <v>115035</v>
          </cell>
          <cell r="E125" t="str">
            <v>spring (prod PSA)</v>
          </cell>
          <cell r="F125" t="str">
            <v>TARGET</v>
          </cell>
          <cell r="G125">
            <v>2.5999999999999999E-2</v>
          </cell>
          <cell r="H125">
            <v>2.5999999999999999E-2</v>
          </cell>
        </row>
        <row r="126">
          <cell r="C126">
            <v>115105</v>
          </cell>
          <cell r="E126" t="str">
            <v>drum (dia 43,5mm)</v>
          </cell>
          <cell r="F126" t="str">
            <v>BUY</v>
          </cell>
          <cell r="G126">
            <v>0.1042</v>
          </cell>
          <cell r="H126">
            <v>0.1042</v>
          </cell>
          <cell r="K126" t="str">
            <v>Apres les 550000 premieres pieces - 0,1Euro amort. Outillages ( actuel; 0,2042 Euro)</v>
          </cell>
        </row>
        <row r="127">
          <cell r="C127">
            <v>115106</v>
          </cell>
          <cell r="E127" t="str">
            <v>drum (dia 43,5mm)</v>
          </cell>
          <cell r="F127" t="str">
            <v>BUY</v>
          </cell>
          <cell r="G127">
            <v>0.1042</v>
          </cell>
          <cell r="H127">
            <v>0.1042</v>
          </cell>
          <cell r="K127" t="str">
            <v>Apres les 550000 premieres pieces - 0,1Euro amort. Outillages ( actuel; 0,2042 Euro)</v>
          </cell>
        </row>
        <row r="128">
          <cell r="C128">
            <v>115144</v>
          </cell>
          <cell r="E128" t="str">
            <v>Cursor</v>
          </cell>
          <cell r="F128" t="str">
            <v>BUY</v>
          </cell>
          <cell r="G128">
            <v>0.13200000000000001</v>
          </cell>
          <cell r="H128">
            <v>0.13200000000000001</v>
          </cell>
        </row>
        <row r="129">
          <cell r="C129">
            <v>115151</v>
          </cell>
          <cell r="E129" t="str">
            <v>Joint T1</v>
          </cell>
          <cell r="F129" t="str">
            <v>BUY</v>
          </cell>
          <cell r="G129">
            <v>2.1100000000000001E-2</v>
          </cell>
          <cell r="H129">
            <v>2.1100000000000001E-2</v>
          </cell>
        </row>
        <row r="130">
          <cell r="C130">
            <v>115152</v>
          </cell>
          <cell r="E130" t="str">
            <v>Joint T1</v>
          </cell>
          <cell r="F130" t="str">
            <v>BUY</v>
          </cell>
          <cell r="G130">
            <v>2.07E-2</v>
          </cell>
          <cell r="H130">
            <v>2.07E-2</v>
          </cell>
        </row>
        <row r="131">
          <cell r="C131">
            <v>115193</v>
          </cell>
          <cell r="E131" t="str">
            <v>pulley shaft</v>
          </cell>
          <cell r="G131">
            <v>4.0800000000000003E-2</v>
          </cell>
          <cell r="H131">
            <v>4.0800000000000003E-2</v>
          </cell>
          <cell r="K131" t="str">
            <v>FY05</v>
          </cell>
        </row>
        <row r="132">
          <cell r="C132">
            <v>115260</v>
          </cell>
          <cell r="E132" t="str">
            <v>Tensionneur long</v>
          </cell>
          <cell r="G132">
            <v>0.13780000000000001</v>
          </cell>
          <cell r="H132">
            <v>0.13780000000000001</v>
          </cell>
          <cell r="I132">
            <v>0.13780000000000001</v>
          </cell>
          <cell r="J132">
            <v>37316</v>
          </cell>
          <cell r="K132" t="str">
            <v>FY05</v>
          </cell>
        </row>
        <row r="133">
          <cell r="C133">
            <v>115465</v>
          </cell>
          <cell r="E133" t="str">
            <v>Stop</v>
          </cell>
          <cell r="F133" t="str">
            <v>BUY</v>
          </cell>
          <cell r="G133">
            <v>3.1300000000000001E-2</v>
          </cell>
          <cell r="H133">
            <v>3.1300000000000001E-2</v>
          </cell>
          <cell r="K133">
            <v>2002</v>
          </cell>
        </row>
        <row r="134">
          <cell r="C134">
            <v>115466</v>
          </cell>
          <cell r="E134" t="str">
            <v>Stop</v>
          </cell>
          <cell r="F134" t="str">
            <v>BUY</v>
          </cell>
          <cell r="G134">
            <v>3.1300000000000001E-2</v>
          </cell>
          <cell r="H134">
            <v>3.1300000000000001E-2</v>
          </cell>
          <cell r="K134">
            <v>2002</v>
          </cell>
        </row>
        <row r="135">
          <cell r="C135">
            <v>115499</v>
          </cell>
          <cell r="E135" t="str">
            <v>clip (N71)</v>
          </cell>
          <cell r="F135" t="str">
            <v>TARGET</v>
          </cell>
          <cell r="G135">
            <v>4.5999999999999999E-2</v>
          </cell>
          <cell r="H135">
            <v>4.5999999999999999E-2</v>
          </cell>
        </row>
        <row r="136">
          <cell r="C136">
            <v>116150</v>
          </cell>
          <cell r="E136" t="str">
            <v>Overmoulded Cursor</v>
          </cell>
          <cell r="F136" t="str">
            <v>BUY</v>
          </cell>
          <cell r="G136">
            <v>0.378</v>
          </cell>
          <cell r="H136">
            <v>0.378</v>
          </cell>
          <cell r="K136">
            <v>2003</v>
          </cell>
        </row>
        <row r="137">
          <cell r="C137">
            <v>116151</v>
          </cell>
          <cell r="E137" t="str">
            <v>Overmoulded Cursor</v>
          </cell>
          <cell r="F137" t="str">
            <v>BUY</v>
          </cell>
          <cell r="G137">
            <v>0.378</v>
          </cell>
          <cell r="H137">
            <v>0.378</v>
          </cell>
          <cell r="K137">
            <v>2003</v>
          </cell>
        </row>
        <row r="138">
          <cell r="C138">
            <v>116278</v>
          </cell>
          <cell r="E138" t="str">
            <v>Cursor alu Monobloc</v>
          </cell>
          <cell r="F138" t="str">
            <v>BUY</v>
          </cell>
          <cell r="G138">
            <v>1.2949999999999999</v>
          </cell>
          <cell r="H138">
            <v>1.2949999999999999</v>
          </cell>
          <cell r="K138">
            <v>2004</v>
          </cell>
        </row>
        <row r="139">
          <cell r="C139">
            <v>116703</v>
          </cell>
          <cell r="E139" t="str">
            <v>seal (for alu aloy cursor assy)</v>
          </cell>
          <cell r="G139">
            <v>6.8000000000000005E-2</v>
          </cell>
          <cell r="H139">
            <v>6.8000000000000005E-2</v>
          </cell>
          <cell r="K139">
            <v>2003</v>
          </cell>
        </row>
        <row r="140">
          <cell r="C140">
            <v>116710</v>
          </cell>
          <cell r="E140" t="str">
            <v>Skate (for alu aloy cursor assy)</v>
          </cell>
          <cell r="G140">
            <v>2.3699999999999999E-2</v>
          </cell>
          <cell r="H140">
            <v>2.3699999999999999E-2</v>
          </cell>
          <cell r="K140">
            <v>2003</v>
          </cell>
        </row>
        <row r="141">
          <cell r="C141">
            <v>116711</v>
          </cell>
          <cell r="E141" t="str">
            <v>Skate (for alu aloy cursor assy)</v>
          </cell>
          <cell r="G141">
            <v>2.3699999999999999E-2</v>
          </cell>
          <cell r="H141">
            <v>2.3699999999999999E-2</v>
          </cell>
          <cell r="K141">
            <v>2003</v>
          </cell>
        </row>
        <row r="142">
          <cell r="C142">
            <v>116712</v>
          </cell>
          <cell r="E142" t="str">
            <v>Screw (for alu aloy cursor assy)</v>
          </cell>
          <cell r="G142">
            <v>9.9000000000000005E-2</v>
          </cell>
          <cell r="H142">
            <v>9.9000000000000005E-2</v>
          </cell>
          <cell r="K142">
            <v>2003</v>
          </cell>
        </row>
        <row r="143">
          <cell r="C143">
            <v>116713</v>
          </cell>
          <cell r="E143" t="str">
            <v>stop (for alu aloy cursor assy)</v>
          </cell>
          <cell r="G143">
            <v>1.9E-2</v>
          </cell>
          <cell r="H143">
            <v>1.9E-2</v>
          </cell>
          <cell r="K143">
            <v>2003</v>
          </cell>
        </row>
        <row r="144">
          <cell r="C144">
            <v>116714</v>
          </cell>
          <cell r="E144" t="str">
            <v>Skate (for alu aloy cursor assy)</v>
          </cell>
          <cell r="G144">
            <v>1.4E-2</v>
          </cell>
          <cell r="H144">
            <v>1.4E-2</v>
          </cell>
          <cell r="K144">
            <v>2003</v>
          </cell>
        </row>
        <row r="145">
          <cell r="C145">
            <v>116718</v>
          </cell>
          <cell r="E145" t="str">
            <v>Nut (for alu aloy cursor assy)</v>
          </cell>
          <cell r="G145">
            <v>3.7999999999999999E-2</v>
          </cell>
          <cell r="H145">
            <v>3.7999999999999999E-2</v>
          </cell>
        </row>
        <row r="146">
          <cell r="C146">
            <v>116796</v>
          </cell>
          <cell r="E146" t="str">
            <v>Profiled Rail</v>
          </cell>
          <cell r="F146" t="str">
            <v>BUY</v>
          </cell>
          <cell r="G146">
            <v>0.27979999999999999</v>
          </cell>
          <cell r="H146">
            <v>0.27979999999999999</v>
          </cell>
        </row>
        <row r="147">
          <cell r="C147">
            <v>116798</v>
          </cell>
          <cell r="E147" t="str">
            <v>Bracket</v>
          </cell>
          <cell r="F147" t="str">
            <v>BUY</v>
          </cell>
          <cell r="G147">
            <v>0.13009999999999999</v>
          </cell>
          <cell r="H147">
            <v>0.13009999999999999</v>
          </cell>
        </row>
        <row r="148">
          <cell r="C148">
            <v>116800</v>
          </cell>
          <cell r="E148" t="str">
            <v>Bracket</v>
          </cell>
          <cell r="F148" t="str">
            <v>BUY</v>
          </cell>
          <cell r="G148">
            <v>0.16900000000000001</v>
          </cell>
          <cell r="H148">
            <v>0.16900000000000001</v>
          </cell>
        </row>
        <row r="149">
          <cell r="C149">
            <v>116802</v>
          </cell>
          <cell r="E149" t="str">
            <v>Electrical Plate</v>
          </cell>
          <cell r="F149" t="str">
            <v>BUY</v>
          </cell>
          <cell r="G149">
            <v>0.23899999999999999</v>
          </cell>
          <cell r="H149">
            <v>0.23899999999999999</v>
          </cell>
        </row>
        <row r="150">
          <cell r="C150">
            <v>116848</v>
          </cell>
          <cell r="E150" t="str">
            <v>Sector S4316 Man</v>
          </cell>
          <cell r="G150">
            <v>0.74050000000000005</v>
          </cell>
          <cell r="H150">
            <v>0.74050000000000005</v>
          </cell>
        </row>
        <row r="151">
          <cell r="C151">
            <v>116851</v>
          </cell>
          <cell r="E151" t="str">
            <v>Half Arm</v>
          </cell>
          <cell r="F151" t="str">
            <v>BUY</v>
          </cell>
          <cell r="G151">
            <v>0.1053</v>
          </cell>
          <cell r="H151">
            <v>0.1053</v>
          </cell>
        </row>
        <row r="152">
          <cell r="C152">
            <v>116852</v>
          </cell>
          <cell r="E152" t="str">
            <v>Half Arm</v>
          </cell>
          <cell r="F152" t="str">
            <v>BUY</v>
          </cell>
          <cell r="G152">
            <v>0.1053</v>
          </cell>
          <cell r="H152">
            <v>0.1053</v>
          </cell>
        </row>
        <row r="153">
          <cell r="C153">
            <v>116858</v>
          </cell>
          <cell r="E153" t="str">
            <v>Electrical Plate S4316</v>
          </cell>
          <cell r="F153" t="str">
            <v>BUY</v>
          </cell>
          <cell r="G153">
            <v>0.47160000000000002</v>
          </cell>
          <cell r="H153">
            <v>0.47160000000000002</v>
          </cell>
        </row>
        <row r="154">
          <cell r="C154">
            <v>116859</v>
          </cell>
          <cell r="E154" t="str">
            <v>Arm</v>
          </cell>
          <cell r="F154" t="str">
            <v>BUY</v>
          </cell>
          <cell r="G154">
            <v>0.27389999999999998</v>
          </cell>
          <cell r="H154">
            <v>0.27389999999999998</v>
          </cell>
        </row>
        <row r="155">
          <cell r="C155">
            <v>116860</v>
          </cell>
          <cell r="E155" t="str">
            <v>Arm</v>
          </cell>
          <cell r="F155" t="str">
            <v>BUY</v>
          </cell>
          <cell r="G155">
            <v>0.27389999999999998</v>
          </cell>
          <cell r="H155">
            <v>0.27389999999999998</v>
          </cell>
        </row>
        <row r="156">
          <cell r="C156">
            <v>116937</v>
          </cell>
          <cell r="E156" t="str">
            <v>Curseur Alu A42</v>
          </cell>
          <cell r="F156" t="str">
            <v>BUY</v>
          </cell>
          <cell r="G156">
            <v>2.4089999999999998</v>
          </cell>
          <cell r="H156">
            <v>2.4089999999999998</v>
          </cell>
          <cell r="K156">
            <v>2004</v>
          </cell>
        </row>
        <row r="157">
          <cell r="C157">
            <v>117019</v>
          </cell>
          <cell r="E157" t="str">
            <v>Plate Ass S4316 av Man.</v>
          </cell>
          <cell r="G157">
            <v>1.5750999999999999</v>
          </cell>
          <cell r="H157">
            <v>1.5750999999999999</v>
          </cell>
        </row>
        <row r="158">
          <cell r="C158">
            <v>117060</v>
          </cell>
          <cell r="E158" t="str">
            <v>Butée POP</v>
          </cell>
          <cell r="F158" t="str">
            <v>BUY</v>
          </cell>
          <cell r="G158">
            <v>0.34970000000000001</v>
          </cell>
          <cell r="H158">
            <v>0.34970000000000001</v>
          </cell>
          <cell r="K158">
            <v>2004</v>
          </cell>
        </row>
        <row r="159">
          <cell r="C159">
            <v>117216</v>
          </cell>
          <cell r="E159" t="str">
            <v>Drum Brose T56</v>
          </cell>
          <cell r="F159" t="str">
            <v>BUY</v>
          </cell>
          <cell r="G159">
            <v>0.13300000000000001</v>
          </cell>
          <cell r="H159">
            <v>0.13300000000000001</v>
          </cell>
          <cell r="K159">
            <v>2004</v>
          </cell>
        </row>
        <row r="160">
          <cell r="C160">
            <v>117260</v>
          </cell>
          <cell r="E160" t="str">
            <v>irreversible tensioner</v>
          </cell>
          <cell r="F160" t="str">
            <v>BUY</v>
          </cell>
          <cell r="G160">
            <v>0.6</v>
          </cell>
          <cell r="H160">
            <v>0.6</v>
          </cell>
        </row>
        <row r="161">
          <cell r="C161">
            <v>117392</v>
          </cell>
          <cell r="E161" t="str">
            <v>Cursor</v>
          </cell>
          <cell r="F161" t="str">
            <v>BUY</v>
          </cell>
          <cell r="G161">
            <v>0.14099999999999999</v>
          </cell>
          <cell r="H161">
            <v>0.14099999999999999</v>
          </cell>
        </row>
        <row r="162">
          <cell r="C162">
            <v>117416</v>
          </cell>
          <cell r="E162" t="str">
            <v>Coulisse de guidage Ford VE184</v>
          </cell>
          <cell r="F162" t="str">
            <v>BUY</v>
          </cell>
          <cell r="G162">
            <v>0.19969999999999999</v>
          </cell>
          <cell r="H162">
            <v>0.19969999999999999</v>
          </cell>
        </row>
        <row r="163">
          <cell r="C163">
            <v>117439</v>
          </cell>
          <cell r="E163" t="str">
            <v>Manual Gear Box  assy</v>
          </cell>
          <cell r="F163" t="str">
            <v>BUY</v>
          </cell>
          <cell r="G163">
            <v>1.5</v>
          </cell>
          <cell r="H163">
            <v>1.5</v>
          </cell>
          <cell r="K163" t="str">
            <v>FY05</v>
          </cell>
        </row>
        <row r="164">
          <cell r="C164">
            <v>117472</v>
          </cell>
          <cell r="E164" t="str">
            <v>motor screw (2 thread)</v>
          </cell>
          <cell r="F164" t="str">
            <v>BUY</v>
          </cell>
          <cell r="G164">
            <v>0.17299999999999999</v>
          </cell>
          <cell r="I164">
            <v>0.17299999999999999</v>
          </cell>
          <cell r="K164" t="str">
            <v>offre de Pirovano du 2/9/03</v>
          </cell>
        </row>
        <row r="165">
          <cell r="C165">
            <v>117583</v>
          </cell>
          <cell r="E165" t="str">
            <v xml:space="preserve">plastic clutch box </v>
          </cell>
          <cell r="G165">
            <v>0.309</v>
          </cell>
          <cell r="H165">
            <v>1.2290000000000001</v>
          </cell>
          <cell r="I165">
            <v>0.309</v>
          </cell>
          <cell r="K165" t="str">
            <v>application au bout de 50000 pièces</v>
          </cell>
        </row>
        <row r="166">
          <cell r="C166">
            <v>117685</v>
          </cell>
          <cell r="E166" t="str">
            <v>star sleeve profil</v>
          </cell>
          <cell r="F166" t="str">
            <v>BUY</v>
          </cell>
          <cell r="G166">
            <v>0.23015873015873015</v>
          </cell>
          <cell r="H166">
            <v>0.23015873015873015</v>
          </cell>
          <cell r="K166" t="str">
            <v>FY04</v>
          </cell>
        </row>
        <row r="167">
          <cell r="C167">
            <v>117773</v>
          </cell>
          <cell r="E167" t="str">
            <v>Support de vitre assemblé</v>
          </cell>
          <cell r="F167" t="str">
            <v>BUY</v>
          </cell>
          <cell r="G167">
            <v>0.40200000000000002</v>
          </cell>
          <cell r="H167">
            <v>0.40200000000000002</v>
          </cell>
          <cell r="K167" t="str">
            <v>FY05</v>
          </cell>
        </row>
        <row r="168">
          <cell r="C168">
            <v>117812</v>
          </cell>
          <cell r="E168" t="str">
            <v>Assy Cursor</v>
          </cell>
          <cell r="F168" t="str">
            <v>BUY</v>
          </cell>
          <cell r="G168">
            <v>2.9449999999999998</v>
          </cell>
          <cell r="H168">
            <v>2.7320000000000002</v>
          </cell>
          <cell r="K168" t="str">
            <v>FY04</v>
          </cell>
        </row>
        <row r="169">
          <cell r="C169">
            <v>117813</v>
          </cell>
          <cell r="E169" t="str">
            <v>Assy Cursor</v>
          </cell>
          <cell r="F169" t="str">
            <v>BUY</v>
          </cell>
          <cell r="G169">
            <v>2.9449999999999998</v>
          </cell>
          <cell r="H169">
            <v>2.7320000000000002</v>
          </cell>
          <cell r="K169" t="str">
            <v>FY04</v>
          </cell>
        </row>
        <row r="170">
          <cell r="C170">
            <v>117853</v>
          </cell>
          <cell r="E170" t="str">
            <v>Verrou</v>
          </cell>
          <cell r="F170" t="str">
            <v>BUY</v>
          </cell>
          <cell r="G170">
            <v>2.9000000000000001E-2</v>
          </cell>
          <cell r="H170">
            <v>2.9000000000000001E-2</v>
          </cell>
        </row>
        <row r="171">
          <cell r="C171">
            <v>117854</v>
          </cell>
          <cell r="E171" t="str">
            <v>cover</v>
          </cell>
          <cell r="F171" t="str">
            <v>TARGET</v>
          </cell>
          <cell r="G171">
            <v>0.185</v>
          </cell>
          <cell r="I171">
            <v>0.185</v>
          </cell>
        </row>
        <row r="172">
          <cell r="C172">
            <v>117855</v>
          </cell>
          <cell r="E172" t="str">
            <v>pinion</v>
          </cell>
          <cell r="F172" t="str">
            <v>TARGET</v>
          </cell>
          <cell r="G172">
            <v>0.14499999999999999</v>
          </cell>
          <cell r="I172">
            <v>0.14499999999999999</v>
          </cell>
        </row>
        <row r="173">
          <cell r="C173">
            <v>117859</v>
          </cell>
          <cell r="E173" t="str">
            <v>drum</v>
          </cell>
          <cell r="F173" t="str">
            <v>TARGET</v>
          </cell>
          <cell r="G173">
            <v>0.11</v>
          </cell>
          <cell r="I173">
            <v>0.11</v>
          </cell>
        </row>
        <row r="174">
          <cell r="C174">
            <v>117860</v>
          </cell>
          <cell r="E174" t="str">
            <v>gear</v>
          </cell>
          <cell r="F174" t="str">
            <v>TARGET</v>
          </cell>
          <cell r="G174">
            <v>0.214</v>
          </cell>
          <cell r="I174">
            <v>0.214</v>
          </cell>
        </row>
        <row r="175">
          <cell r="C175">
            <v>118003</v>
          </cell>
          <cell r="E175" t="str">
            <v>drum</v>
          </cell>
          <cell r="F175" t="str">
            <v>BUY</v>
          </cell>
          <cell r="G175">
            <v>7.5200000000000003E-2</v>
          </cell>
          <cell r="H175">
            <v>7.5200000000000003E-2</v>
          </cell>
          <cell r="K175" t="str">
            <v>(without amortization of the mold)</v>
          </cell>
        </row>
        <row r="176">
          <cell r="C176">
            <v>118004</v>
          </cell>
          <cell r="E176" t="str">
            <v>Outer Sleeve</v>
          </cell>
          <cell r="F176" t="str">
            <v>BUY</v>
          </cell>
          <cell r="G176">
            <v>0.20280999999999999</v>
          </cell>
          <cell r="H176">
            <v>0.20280999999999999</v>
          </cell>
          <cell r="K176" t="str">
            <v>FY05</v>
          </cell>
        </row>
        <row r="177">
          <cell r="C177">
            <v>118010</v>
          </cell>
          <cell r="E177" t="str">
            <v>profil cable dia 1,5 - 49 wires (Berger)</v>
          </cell>
          <cell r="F177" t="str">
            <v>BUY</v>
          </cell>
          <cell r="G177">
            <v>8.7400000000000005E-2</v>
          </cell>
          <cell r="H177">
            <v>8.7400000000000005E-2</v>
          </cell>
          <cell r="K177" t="str">
            <v>FY04</v>
          </cell>
        </row>
        <row r="178">
          <cell r="C178">
            <v>118017</v>
          </cell>
          <cell r="E178" t="str">
            <v>Pulley Shaft</v>
          </cell>
          <cell r="F178" t="str">
            <v>BUY</v>
          </cell>
          <cell r="G178">
            <v>2.7E-2</v>
          </cell>
          <cell r="H178">
            <v>2.7E-2</v>
          </cell>
        </row>
        <row r="179">
          <cell r="C179">
            <v>118060</v>
          </cell>
          <cell r="E179" t="str">
            <v>Bumper</v>
          </cell>
          <cell r="F179" t="str">
            <v>BUY</v>
          </cell>
          <cell r="G179">
            <v>1.61E-2</v>
          </cell>
          <cell r="H179">
            <v>1.61E-2</v>
          </cell>
          <cell r="K179" t="str">
            <v>FY05</v>
          </cell>
        </row>
        <row r="180">
          <cell r="C180">
            <v>118061</v>
          </cell>
          <cell r="E180" t="str">
            <v>Screw</v>
          </cell>
          <cell r="F180" t="str">
            <v>BUY</v>
          </cell>
          <cell r="G180">
            <v>4.1579999999999999E-2</v>
          </cell>
          <cell r="H180">
            <v>4.1579999999999999E-2</v>
          </cell>
          <cell r="K180" t="str">
            <v>FY05</v>
          </cell>
        </row>
        <row r="181">
          <cell r="C181">
            <v>118062</v>
          </cell>
          <cell r="E181" t="str">
            <v>Spacer</v>
          </cell>
          <cell r="F181" t="str">
            <v>BUY</v>
          </cell>
          <cell r="G181">
            <v>6.1100000000000002E-2</v>
          </cell>
          <cell r="H181">
            <v>6.1100000000000002E-2</v>
          </cell>
          <cell r="K181" t="str">
            <v>FY05</v>
          </cell>
        </row>
        <row r="182">
          <cell r="C182">
            <v>118063</v>
          </cell>
          <cell r="E182" t="str">
            <v>Circlip</v>
          </cell>
          <cell r="F182" t="str">
            <v>BUY</v>
          </cell>
          <cell r="G182">
            <v>1.1469999999999999E-2</v>
          </cell>
          <cell r="H182">
            <v>1.1469999999999999E-2</v>
          </cell>
          <cell r="K182" t="str">
            <v>FY05</v>
          </cell>
        </row>
        <row r="183">
          <cell r="C183">
            <v>118064</v>
          </cell>
          <cell r="E183" t="str">
            <v>Pulley Shaft</v>
          </cell>
          <cell r="F183" t="str">
            <v>BUY</v>
          </cell>
          <cell r="G183">
            <v>5.1400000000000001E-2</v>
          </cell>
          <cell r="H183">
            <v>5.1400000000000001E-2</v>
          </cell>
          <cell r="K183" t="str">
            <v>FY05</v>
          </cell>
        </row>
        <row r="184">
          <cell r="C184">
            <v>118065</v>
          </cell>
          <cell r="E184" t="str">
            <v xml:space="preserve">Pulley </v>
          </cell>
          <cell r="F184" t="str">
            <v>BUY</v>
          </cell>
          <cell r="G184">
            <v>2.232E-2</v>
          </cell>
          <cell r="H184">
            <v>2.232E-2</v>
          </cell>
          <cell r="K184" t="str">
            <v>FY05</v>
          </cell>
        </row>
        <row r="185">
          <cell r="C185">
            <v>118066</v>
          </cell>
          <cell r="E185" t="str">
            <v>Pulley Shaft</v>
          </cell>
          <cell r="F185" t="str">
            <v>BUY</v>
          </cell>
          <cell r="G185">
            <v>5.8400000000000001E-2</v>
          </cell>
          <cell r="H185">
            <v>5.8400000000000001E-2</v>
          </cell>
          <cell r="K185" t="str">
            <v>FY05</v>
          </cell>
        </row>
        <row r="186">
          <cell r="C186">
            <v>118278</v>
          </cell>
          <cell r="E186" t="str">
            <v>tensioner</v>
          </cell>
          <cell r="F186" t="str">
            <v>BUY</v>
          </cell>
          <cell r="G186">
            <v>3.3500000000000002E-2</v>
          </cell>
          <cell r="I186">
            <v>3.3500000000000002E-2</v>
          </cell>
          <cell r="K186" t="str">
            <v>Info Franck C</v>
          </cell>
        </row>
        <row r="187">
          <cell r="C187">
            <v>118281</v>
          </cell>
          <cell r="E187" t="str">
            <v>Sleeve stop</v>
          </cell>
          <cell r="F187" t="str">
            <v>BUY</v>
          </cell>
          <cell r="G187">
            <v>1.142E-2</v>
          </cell>
          <cell r="H187">
            <v>1.142E-2</v>
          </cell>
          <cell r="K187" t="str">
            <v>FY05</v>
          </cell>
        </row>
        <row r="188">
          <cell r="C188">
            <v>118282</v>
          </cell>
          <cell r="E188" t="str">
            <v>Tensioner assy</v>
          </cell>
          <cell r="F188" t="str">
            <v>BUY</v>
          </cell>
          <cell r="G188">
            <v>3.0679999999999999E-2</v>
          </cell>
          <cell r="H188">
            <v>3.0679999999999999E-2</v>
          </cell>
          <cell r="K188" t="str">
            <v>FY05</v>
          </cell>
        </row>
        <row r="189">
          <cell r="C189">
            <v>118340</v>
          </cell>
          <cell r="E189" t="str">
            <v>Curseur A08</v>
          </cell>
          <cell r="F189" t="str">
            <v>BUY</v>
          </cell>
          <cell r="G189">
            <v>0.153</v>
          </cell>
          <cell r="H189">
            <v>0.153</v>
          </cell>
          <cell r="K189" t="str">
            <v>FY04</v>
          </cell>
        </row>
        <row r="190">
          <cell r="C190">
            <v>118341</v>
          </cell>
          <cell r="E190" t="str">
            <v>Curseur A08</v>
          </cell>
          <cell r="F190" t="str">
            <v>BUY</v>
          </cell>
          <cell r="G190">
            <v>0.153</v>
          </cell>
          <cell r="H190">
            <v>0.153</v>
          </cell>
          <cell r="K190" t="str">
            <v>FY04</v>
          </cell>
        </row>
        <row r="191">
          <cell r="C191">
            <v>118366</v>
          </cell>
          <cell r="E191" t="str">
            <v>pierce nut</v>
          </cell>
          <cell r="F191" t="str">
            <v>BUY</v>
          </cell>
          <cell r="G191">
            <v>1.9199999999999998E-2</v>
          </cell>
          <cell r="H191">
            <v>1.9199999999999998E-2</v>
          </cell>
          <cell r="K191" t="str">
            <v>FY04</v>
          </cell>
        </row>
        <row r="192">
          <cell r="C192">
            <v>118371</v>
          </cell>
          <cell r="E192" t="str">
            <v>Stop</v>
          </cell>
          <cell r="F192" t="str">
            <v>BUY</v>
          </cell>
          <cell r="G192">
            <v>0.03</v>
          </cell>
          <cell r="H192">
            <v>0.03</v>
          </cell>
          <cell r="K192" t="str">
            <v>FY04 - Liberec Infor</v>
          </cell>
        </row>
        <row r="193">
          <cell r="C193">
            <v>118595</v>
          </cell>
          <cell r="E193" t="str">
            <v>Cable End fiting</v>
          </cell>
          <cell r="F193" t="str">
            <v>BUY</v>
          </cell>
          <cell r="G193">
            <v>3.7930999999999999E-2</v>
          </cell>
          <cell r="H193">
            <v>3.7930999999999999E-2</v>
          </cell>
          <cell r="K193" t="str">
            <v>FY05</v>
          </cell>
        </row>
        <row r="194">
          <cell r="C194">
            <v>118596</v>
          </cell>
          <cell r="E194" t="str">
            <v>Cable End fiting</v>
          </cell>
          <cell r="F194" t="str">
            <v>BUY</v>
          </cell>
          <cell r="G194">
            <v>1.306E-2</v>
          </cell>
          <cell r="I194">
            <v>1.306E-2</v>
          </cell>
          <cell r="K194" t="str">
            <v>FY05</v>
          </cell>
        </row>
        <row r="195">
          <cell r="C195">
            <v>118597</v>
          </cell>
          <cell r="E195" t="str">
            <v>Spring</v>
          </cell>
          <cell r="F195" t="str">
            <v>BUY</v>
          </cell>
          <cell r="G195">
            <v>2.546E-2</v>
          </cell>
          <cell r="H195">
            <v>2.546E-2</v>
          </cell>
          <cell r="K195" t="str">
            <v>FY05</v>
          </cell>
        </row>
        <row r="196">
          <cell r="C196">
            <v>118598</v>
          </cell>
          <cell r="E196" t="str">
            <v xml:space="preserve">end fitting </v>
          </cell>
          <cell r="F196" t="str">
            <v>BUY</v>
          </cell>
          <cell r="G196">
            <v>8.1499999999999993E-3</v>
          </cell>
          <cell r="H196">
            <v>8.1499999999999993E-3</v>
          </cell>
          <cell r="K196" t="str">
            <v>FY05</v>
          </cell>
        </row>
        <row r="197">
          <cell r="C197">
            <v>118606</v>
          </cell>
          <cell r="E197" t="str">
            <v>Clip</v>
          </cell>
          <cell r="F197" t="str">
            <v>BUY</v>
          </cell>
          <cell r="G197">
            <v>6.4899999999999999E-2</v>
          </cell>
          <cell r="H197">
            <v>6.4899999999999999E-2</v>
          </cell>
          <cell r="K197" t="str">
            <v>FY05</v>
          </cell>
        </row>
        <row r="198">
          <cell r="C198">
            <v>118622</v>
          </cell>
          <cell r="E198" t="str">
            <v>Pad</v>
          </cell>
          <cell r="F198" t="str">
            <v>BUY</v>
          </cell>
          <cell r="G198">
            <v>2.1000000000000001E-2</v>
          </cell>
          <cell r="I198">
            <v>2.1000000000000001E-2</v>
          </cell>
          <cell r="K198" t="str">
            <v>FY04</v>
          </cell>
        </row>
        <row r="199">
          <cell r="C199">
            <v>118623</v>
          </cell>
          <cell r="E199" t="str">
            <v>Butée POP</v>
          </cell>
          <cell r="F199" t="str">
            <v>BUY</v>
          </cell>
          <cell r="G199">
            <v>0.185</v>
          </cell>
          <cell r="H199">
            <v>0.185</v>
          </cell>
          <cell r="K199" t="str">
            <v>FY05</v>
          </cell>
        </row>
        <row r="200">
          <cell r="C200">
            <v>118658</v>
          </cell>
          <cell r="E200" t="str">
            <v>profil cable dia 1,5 - 49 wires (chrysantemum)</v>
          </cell>
          <cell r="F200" t="str">
            <v>BUY</v>
          </cell>
          <cell r="G200">
            <v>9.8900000000000002E-2</v>
          </cell>
          <cell r="I200">
            <v>9.8900000000000002E-2</v>
          </cell>
          <cell r="K200" t="str">
            <v>FY04</v>
          </cell>
        </row>
        <row r="201">
          <cell r="C201">
            <v>118738</v>
          </cell>
          <cell r="E201" t="str">
            <v>tension spring</v>
          </cell>
          <cell r="F201" t="str">
            <v>BUY</v>
          </cell>
          <cell r="G201">
            <v>5.8999999999999997E-2</v>
          </cell>
          <cell r="I201">
            <v>5.8999999999999997E-2</v>
          </cell>
          <cell r="K201" t="str">
            <v>ESTIMATED</v>
          </cell>
        </row>
        <row r="202">
          <cell r="C202">
            <v>118739</v>
          </cell>
          <cell r="E202" t="str">
            <v>washer</v>
          </cell>
          <cell r="F202" t="str">
            <v>BUY</v>
          </cell>
          <cell r="G202">
            <v>4.5999999999999999E-2</v>
          </cell>
          <cell r="I202">
            <v>4.5999999999999999E-2</v>
          </cell>
          <cell r="K202" t="str">
            <v>must be check with serial part drawing</v>
          </cell>
        </row>
        <row r="203">
          <cell r="C203">
            <v>118780</v>
          </cell>
          <cell r="E203" t="str">
            <v>Stop</v>
          </cell>
          <cell r="F203" t="str">
            <v>BUY</v>
          </cell>
          <cell r="G203">
            <v>1.132E-2</v>
          </cell>
          <cell r="H203">
            <v>1.132E-2</v>
          </cell>
          <cell r="K203" t="str">
            <v>FY05</v>
          </cell>
        </row>
        <row r="204">
          <cell r="C204">
            <v>119059</v>
          </cell>
          <cell r="E204" t="str">
            <v>Cursor Monobloc</v>
          </cell>
          <cell r="F204" t="str">
            <v>BUY</v>
          </cell>
          <cell r="G204">
            <v>0.08</v>
          </cell>
          <cell r="H204">
            <v>0.08</v>
          </cell>
          <cell r="K204" t="str">
            <v>FY05</v>
          </cell>
        </row>
        <row r="205">
          <cell r="C205">
            <v>119137</v>
          </cell>
          <cell r="E205" t="str">
            <v>irreversible tensioner</v>
          </cell>
          <cell r="F205" t="str">
            <v>BUY</v>
          </cell>
          <cell r="G205">
            <v>0.46100000000000002</v>
          </cell>
          <cell r="H205">
            <v>0.46100000000000002</v>
          </cell>
        </row>
        <row r="206">
          <cell r="C206">
            <v>187080002</v>
          </cell>
          <cell r="E206" t="str">
            <v>Axe Pivot Sector</v>
          </cell>
          <cell r="F206" t="str">
            <v>BUY</v>
          </cell>
          <cell r="G206">
            <v>5.1499999999999997E-2</v>
          </cell>
          <cell r="H206">
            <v>5.1499999999999997E-2</v>
          </cell>
        </row>
        <row r="207">
          <cell r="C207">
            <v>187100004</v>
          </cell>
          <cell r="E207" t="str">
            <v>main pivot</v>
          </cell>
          <cell r="G207">
            <v>0</v>
          </cell>
        </row>
        <row r="208">
          <cell r="C208">
            <v>188040024</v>
          </cell>
          <cell r="E208" t="str">
            <v>pierce nut</v>
          </cell>
          <cell r="F208" t="str">
            <v>BUY</v>
          </cell>
          <cell r="G208">
            <v>1.9199999999999998E-2</v>
          </cell>
          <cell r="H208">
            <v>1.9199999999999998E-2</v>
          </cell>
        </row>
        <row r="209">
          <cell r="C209">
            <v>188520008</v>
          </cell>
          <cell r="E209" t="str">
            <v>clutch spring</v>
          </cell>
          <cell r="F209" t="str">
            <v>TARGET</v>
          </cell>
          <cell r="G209">
            <v>2.019E-2</v>
          </cell>
          <cell r="H209">
            <v>2.019E-2</v>
          </cell>
          <cell r="K209" t="str">
            <v>FY05</v>
          </cell>
        </row>
        <row r="210">
          <cell r="C210">
            <v>188530008</v>
          </cell>
          <cell r="E210" t="str">
            <v>clutch spring</v>
          </cell>
          <cell r="F210" t="str">
            <v>TARGET</v>
          </cell>
          <cell r="G210">
            <v>1.7999999999999999E-2</v>
          </cell>
          <cell r="H210">
            <v>1.7999999999999999E-2</v>
          </cell>
        </row>
        <row r="211">
          <cell r="C211">
            <v>190060020</v>
          </cell>
          <cell r="E211" t="str">
            <v>pulley</v>
          </cell>
          <cell r="F211" t="str">
            <v>BUY</v>
          </cell>
          <cell r="G211">
            <v>2.3099999999999999E-2</v>
          </cell>
          <cell r="H211">
            <v>2.3099999999999999E-2</v>
          </cell>
        </row>
        <row r="212">
          <cell r="C212">
            <v>190060021</v>
          </cell>
          <cell r="E212" t="str">
            <v>pulley shaft</v>
          </cell>
          <cell r="F212" t="str">
            <v>BUY</v>
          </cell>
          <cell r="G212">
            <v>3.2070000000000001E-2</v>
          </cell>
          <cell r="H212">
            <v>3.2070000000000001E-2</v>
          </cell>
        </row>
        <row r="213">
          <cell r="C213">
            <v>190063010</v>
          </cell>
          <cell r="E213" t="str">
            <v>inner cylindrical sleeve profil for dia 1,8</v>
          </cell>
          <cell r="F213" t="str">
            <v>TARGET</v>
          </cell>
          <cell r="G213">
            <v>5.7000000000000002E-2</v>
          </cell>
          <cell r="H213">
            <v>5.7000000000000002E-2</v>
          </cell>
        </row>
        <row r="214">
          <cell r="C214">
            <v>191440016</v>
          </cell>
          <cell r="E214" t="str">
            <v>tighteness seal (Z6 FRT)</v>
          </cell>
          <cell r="F214" t="str">
            <v>TARGET</v>
          </cell>
          <cell r="G214">
            <v>3.4000000000000002E-2</v>
          </cell>
          <cell r="H214">
            <v>3.4000000000000002E-2</v>
          </cell>
        </row>
        <row r="215">
          <cell r="C215">
            <v>191540002</v>
          </cell>
          <cell r="E215" t="str">
            <v>bearing</v>
          </cell>
          <cell r="F215" t="str">
            <v>BUY</v>
          </cell>
          <cell r="G215">
            <v>2.6069999999999999E-2</v>
          </cell>
          <cell r="H215">
            <v>2.6069999999999999E-2</v>
          </cell>
        </row>
        <row r="216">
          <cell r="C216">
            <v>191980017</v>
          </cell>
          <cell r="E216" t="str">
            <v>pad</v>
          </cell>
          <cell r="F216" t="str">
            <v>BUY</v>
          </cell>
          <cell r="G216">
            <v>1.4437E-2</v>
          </cell>
          <cell r="H216">
            <v>1.4437E-2</v>
          </cell>
        </row>
        <row r="217">
          <cell r="C217" t="str">
            <v>112541 (Codica)</v>
          </cell>
          <cell r="E217" t="str">
            <v>cylindrical sleeve profil dia 1,5</v>
          </cell>
          <cell r="F217" t="str">
            <v>BUY</v>
          </cell>
          <cell r="G217">
            <v>0.32300000000000001</v>
          </cell>
          <cell r="H217">
            <v>0.32300000000000001</v>
          </cell>
        </row>
        <row r="218">
          <cell r="C218" t="str">
            <v>117685 (Codica)</v>
          </cell>
          <cell r="E218" t="str">
            <v>star sleeve profil</v>
          </cell>
          <cell r="F218" t="str">
            <v>BUY</v>
          </cell>
          <cell r="G218">
            <v>0.28000000000000003</v>
          </cell>
          <cell r="H218">
            <v>0.28000000000000003</v>
          </cell>
        </row>
        <row r="219">
          <cell r="C219" t="str">
            <v>117685 (Fico)</v>
          </cell>
          <cell r="E219" t="str">
            <v>star sleeve profil</v>
          </cell>
          <cell r="F219" t="str">
            <v>BUY</v>
          </cell>
          <cell r="G219">
            <v>0.25</v>
          </cell>
          <cell r="H219">
            <v>0.25</v>
          </cell>
        </row>
        <row r="220">
          <cell r="C220" t="str">
            <v>117685 (Obzor)</v>
          </cell>
          <cell r="E220" t="str">
            <v>star sleeve profil</v>
          </cell>
          <cell r="F220" t="str">
            <v>BUY</v>
          </cell>
          <cell r="G220">
            <v>0.248</v>
          </cell>
          <cell r="H220">
            <v>0.248</v>
          </cell>
        </row>
        <row r="221">
          <cell r="C221" t="str">
            <v>190063011 (Codica)</v>
          </cell>
          <cell r="E221" t="str">
            <v>outer cylindrical sleeve profil for dia 1,8</v>
          </cell>
          <cell r="F221" t="str">
            <v>TARGET</v>
          </cell>
          <cell r="G221">
            <v>0.17799999999999999</v>
          </cell>
          <cell r="H221">
            <v>0.17799999999999999</v>
          </cell>
        </row>
        <row r="222">
          <cell r="C222" t="str">
            <v>190063011 (Fico)</v>
          </cell>
          <cell r="E222" t="str">
            <v>outer cylindrical sleeve profil for dia 1,8</v>
          </cell>
          <cell r="F222" t="str">
            <v>TARGET</v>
          </cell>
          <cell r="G222">
            <v>0.16800000000000001</v>
          </cell>
          <cell r="H222">
            <v>0.16800000000000001</v>
          </cell>
        </row>
        <row r="223">
          <cell r="C223" t="str">
            <v>amort. Indirect man plate. Machine</v>
          </cell>
          <cell r="E223" t="str">
            <v>(86,2K€x1,585)/
(plates per year x 6years)</v>
          </cell>
          <cell r="G223">
            <v>0</v>
          </cell>
        </row>
        <row r="224">
          <cell r="C224" t="str">
            <v>amort. Man plate. Machine</v>
          </cell>
          <cell r="E224" t="str">
            <v>(50,5K€x1,585)/
(pulliesxvolx6years)</v>
          </cell>
          <cell r="G224">
            <v>0</v>
          </cell>
        </row>
        <row r="225">
          <cell r="C225" t="str">
            <v>amort. Pul. machine (3)
amort. on the volum max pul. / day</v>
          </cell>
          <cell r="E225" t="str">
            <v>((76240*1,585)/(9000poulies par jourx6x225))*nb pulley/rail</v>
          </cell>
          <cell r="G225">
            <v>0</v>
          </cell>
        </row>
        <row r="226">
          <cell r="C226" t="str">
            <v>amort. Pulley machine (1)
(amort. of a press 
on this project only)</v>
          </cell>
          <cell r="E226" t="str">
            <v>(15K€x1,585)/
(pulliesxvolx6years)</v>
          </cell>
          <cell r="G226">
            <v>0</v>
          </cell>
        </row>
        <row r="227">
          <cell r="C227" t="str">
            <v>amort. Pulley machine (2)
(amort. of the complete machine 
on this project only)</v>
          </cell>
          <cell r="E227" t="str">
            <v>(76,24K€x1,585)/
(pulliesxvolx6years)</v>
          </cell>
          <cell r="G227">
            <v>0</v>
          </cell>
        </row>
        <row r="228">
          <cell r="C228" t="str">
            <v>X30877</v>
          </cell>
          <cell r="E228" t="str">
            <v>SL ramp 120° - VRP2</v>
          </cell>
          <cell r="G228">
            <v>5.9799999999999999E-2</v>
          </cell>
          <cell r="I228">
            <v>5.9799999999999999E-2</v>
          </cell>
        </row>
        <row r="229">
          <cell r="C229" t="str">
            <v>X30878</v>
          </cell>
          <cell r="E229" t="str">
            <v>SL ramp 120° - VRP2</v>
          </cell>
          <cell r="G229">
            <v>5.9799999999999999E-2</v>
          </cell>
          <cell r="I229">
            <v>5.9799999999999999E-2</v>
          </cell>
        </row>
        <row r="230">
          <cell r="C230" t="str">
            <v>X31628</v>
          </cell>
          <cell r="E230" t="str">
            <v>Bjo ramp - VRP2</v>
          </cell>
          <cell r="G230">
            <v>4.0099999999999997E-2</v>
          </cell>
          <cell r="I230">
            <v>4.0099999999999997E-2</v>
          </cell>
        </row>
        <row r="231">
          <cell r="C231" t="str">
            <v>X31629</v>
          </cell>
          <cell r="E231" t="str">
            <v>Bjo ramp - VRP2</v>
          </cell>
          <cell r="G231">
            <v>4.0099999999999997E-2</v>
          </cell>
          <cell r="I231">
            <v>4.0099999999999997E-2</v>
          </cell>
        </row>
        <row r="232">
          <cell r="C232" t="str">
            <v>X31630</v>
          </cell>
          <cell r="E232" t="str">
            <v>SL ramp 95° - VRP2</v>
          </cell>
          <cell r="G232">
            <v>5.6000000000000001E-2</v>
          </cell>
          <cell r="I232">
            <v>5.6000000000000001E-2</v>
          </cell>
        </row>
        <row r="233">
          <cell r="C233" t="str">
            <v>X31631</v>
          </cell>
          <cell r="E233" t="str">
            <v>SL ramp 95° - VRP2</v>
          </cell>
          <cell r="G233">
            <v>5.6000000000000001E-2</v>
          </cell>
          <cell r="I233">
            <v>5.6000000000000001E-2</v>
          </cell>
        </row>
        <row r="234">
          <cell r="C234" t="str">
            <v>X31632</v>
          </cell>
          <cell r="E234" t="str">
            <v>SL ramp 150° - VRP2</v>
          </cell>
          <cell r="G234">
            <v>5.9700000000000003E-2</v>
          </cell>
          <cell r="I234">
            <v>5.9700000000000003E-2</v>
          </cell>
        </row>
        <row r="235">
          <cell r="C235" t="str">
            <v>X31633</v>
          </cell>
          <cell r="E235" t="str">
            <v>SL ramp 150° - VRP2</v>
          </cell>
          <cell r="G235">
            <v>5.3999999999999999E-2</v>
          </cell>
          <cell r="I235">
            <v>5.3999999999999999E-2</v>
          </cell>
        </row>
        <row r="236">
          <cell r="C236" t="str">
            <v>X31642</v>
          </cell>
          <cell r="E236" t="str">
            <v>Bjo ramp assy - VRP2</v>
          </cell>
          <cell r="G236">
            <v>0.10489999999999999</v>
          </cell>
          <cell r="I236">
            <v>0.10489999999999999</v>
          </cell>
        </row>
        <row r="237">
          <cell r="C237" t="str">
            <v>X31643</v>
          </cell>
          <cell r="E237" t="str">
            <v>Bjo ramp assy - VRP2</v>
          </cell>
          <cell r="G237">
            <v>0.10489999999999999</v>
          </cell>
          <cell r="I237">
            <v>0.10489999999999999</v>
          </cell>
        </row>
        <row r="238">
          <cell r="C238" t="str">
            <v>X31644</v>
          </cell>
          <cell r="E238" t="str">
            <v>cover assy BJO - VRP2</v>
          </cell>
          <cell r="G238">
            <v>8.6300000000000002E-2</v>
          </cell>
          <cell r="I238">
            <v>8.6300000000000002E-2</v>
          </cell>
        </row>
        <row r="239">
          <cell r="C239" t="str">
            <v>X31645</v>
          </cell>
          <cell r="E239" t="str">
            <v>cover assy BJO - VRP2</v>
          </cell>
          <cell r="G239">
            <v>8.6300000000000002E-2</v>
          </cell>
          <cell r="I239">
            <v>8.6300000000000002E-2</v>
          </cell>
        </row>
        <row r="240">
          <cell r="C240" t="str">
            <v>X31646</v>
          </cell>
          <cell r="E240" t="str">
            <v>cover assy SL 95°  - VRP2</v>
          </cell>
          <cell r="G240">
            <v>9.35E-2</v>
          </cell>
          <cell r="I240">
            <v>9.35E-2</v>
          </cell>
        </row>
        <row r="241">
          <cell r="C241" t="str">
            <v>X31647</v>
          </cell>
          <cell r="E241" t="str">
            <v>cover assy SL 95°  - VRP2</v>
          </cell>
          <cell r="G241">
            <v>9.35E-2</v>
          </cell>
          <cell r="I241">
            <v>9.35E-2</v>
          </cell>
        </row>
        <row r="242">
          <cell r="C242" t="str">
            <v>X31650</v>
          </cell>
          <cell r="E242" t="str">
            <v>cover assy SL 120°  - VRP2</v>
          </cell>
          <cell r="G242">
            <v>9.9000000000000005E-2</v>
          </cell>
          <cell r="I242">
            <v>9.9000000000000005E-2</v>
          </cell>
        </row>
        <row r="243">
          <cell r="C243" t="str">
            <v>X31651</v>
          </cell>
          <cell r="E243" t="str">
            <v>cover assy SL 120°  - VRP2</v>
          </cell>
          <cell r="G243">
            <v>9.9000000000000005E-2</v>
          </cell>
          <cell r="I243">
            <v>9.9000000000000005E-2</v>
          </cell>
        </row>
        <row r="244">
          <cell r="C244" t="str">
            <v>X31654</v>
          </cell>
          <cell r="E244" t="str">
            <v>cover assy SL 150°  - VRP2</v>
          </cell>
          <cell r="G244">
            <v>9.9000000000000005E-2</v>
          </cell>
          <cell r="I244">
            <v>9.9000000000000005E-2</v>
          </cell>
        </row>
        <row r="245">
          <cell r="C245" t="str">
            <v>X31655</v>
          </cell>
          <cell r="E245" t="str">
            <v>cover assy SL 150°  - VRP2</v>
          </cell>
          <cell r="G245">
            <v>9.9000000000000005E-2</v>
          </cell>
          <cell r="I245">
            <v>9.9000000000000005E-2</v>
          </cell>
        </row>
        <row r="246">
          <cell r="C246" t="str">
            <v>X31909</v>
          </cell>
          <cell r="E246" t="str">
            <v>tensioner assy  - VRP2 - (3 parts)</v>
          </cell>
          <cell r="G246">
            <v>5.11E-2</v>
          </cell>
          <cell r="I246">
            <v>5.11E-2</v>
          </cell>
        </row>
        <row r="247">
          <cell r="C247" t="str">
            <v>X32500</v>
          </cell>
          <cell r="E247" t="str">
            <v>dry side drum cover</v>
          </cell>
          <cell r="G247">
            <v>0.23680000000000001</v>
          </cell>
          <cell r="I247">
            <v>0.23680000000000001</v>
          </cell>
          <cell r="K247" t="str">
            <v>for WR with sleeves / must be review</v>
          </cell>
        </row>
        <row r="248">
          <cell r="C248" t="str">
            <v>X32899 - B  estimated</v>
          </cell>
          <cell r="E248" t="str">
            <v>spring</v>
          </cell>
          <cell r="G248">
            <v>0.05</v>
          </cell>
          <cell r="I248">
            <v>0.05</v>
          </cell>
          <cell r="K248" t="str">
            <v>estimated 24/11/03</v>
          </cell>
        </row>
        <row r="249">
          <cell r="C249" t="str">
            <v>X32900 - B</v>
          </cell>
          <cell r="E249" t="str">
            <v>spacer for short drop tensioner</v>
          </cell>
          <cell r="G249">
            <v>4.5999999999999999E-2</v>
          </cell>
          <cell r="I249">
            <v>4.5999999999999999E-2</v>
          </cell>
          <cell r="K249" t="str">
            <v>price of the 11/07/03</v>
          </cell>
        </row>
        <row r="250">
          <cell r="D250" t="str">
            <v>aluminuim</v>
          </cell>
          <cell r="E250" t="str">
            <v>AS9U3</v>
          </cell>
          <cell r="G250">
            <v>2.464</v>
          </cell>
          <cell r="H250">
            <v>2.464</v>
          </cell>
        </row>
        <row r="251">
          <cell r="D251" t="str">
            <v>Colorant pour plastic</v>
          </cell>
          <cell r="E251" t="str">
            <v>Colorant pour plastic 0,05% du Gross Weight</v>
          </cell>
          <cell r="G251">
            <v>7.6219999999999999</v>
          </cell>
          <cell r="H251">
            <v>7.6219999999999999</v>
          </cell>
          <cell r="K251">
            <v>2003</v>
          </cell>
        </row>
        <row r="252">
          <cell r="D252" t="str">
            <v>CRALW9020 BK851</v>
          </cell>
          <cell r="E252" t="str">
            <v>plastic material</v>
          </cell>
          <cell r="G252">
            <v>3.05</v>
          </cell>
          <cell r="H252">
            <v>3.05</v>
          </cell>
          <cell r="K252" t="str">
            <v>validity : 01 04 02 --&gt;31 03 03 Dupont info / 25Kgmini / sinon +0,06€/Kg</v>
          </cell>
        </row>
        <row r="253">
          <cell r="D253" t="str">
            <v>CRASK603 BK851</v>
          </cell>
          <cell r="E253" t="str">
            <v>plastic material</v>
          </cell>
          <cell r="G253">
            <v>2.21</v>
          </cell>
          <cell r="H253">
            <v>2.21</v>
          </cell>
          <cell r="K253" t="str">
            <v>validity : 01 04 02 --&gt;31 03 03 Dupont info / 25Kgmini / sinon +0,06€/Kg</v>
          </cell>
        </row>
        <row r="254">
          <cell r="D254" t="str">
            <v>CRASK605 BK851</v>
          </cell>
          <cell r="E254" t="str">
            <v>plastic material</v>
          </cell>
          <cell r="G254">
            <v>2.21</v>
          </cell>
          <cell r="H254">
            <v>2.21</v>
          </cell>
          <cell r="K254" t="str">
            <v>validity : 01 04 02 --&gt;31 03 03 Dupont info / 25Kgmini / sinon +0,06€/Kg</v>
          </cell>
        </row>
        <row r="255">
          <cell r="D255" t="str">
            <v>customer pack Bjo/SL
returnable box &amp; palett</v>
          </cell>
          <cell r="E255" t="str">
            <v>if 10 parts / box 600x400x320 (type T5 RR elec) 
4 spacers / box
1 labell / box + 1 / palett</v>
          </cell>
          <cell r="G255">
            <v>2.4E-2</v>
          </cell>
          <cell r="H255">
            <v>2.4E-2</v>
          </cell>
        </row>
        <row r="256">
          <cell r="D256" t="str">
            <v>customer pack DL
returnable box &amp; palett</v>
          </cell>
          <cell r="E256" t="str">
            <v>if 5 parts / box 600x400x320 (type N7 elec) 
4 spacers / box
1 labell / box + 1 / palett</v>
          </cell>
          <cell r="G256">
            <v>4.8000000000000001E-2</v>
          </cell>
          <cell r="H256">
            <v>4.8000000000000001E-2</v>
          </cell>
        </row>
        <row r="257">
          <cell r="D257" t="str">
            <v>customer pack X arm
metal container</v>
          </cell>
          <cell r="E257" t="str">
            <v>110 parts - 8 spacers and 
2 half carton belts (type Defender FRT elec)
1 labell container</v>
          </cell>
          <cell r="G257">
            <v>3.2300000000000002E-2</v>
          </cell>
          <cell r="H257">
            <v>3.2300000000000002E-2</v>
          </cell>
        </row>
        <row r="258">
          <cell r="D258" t="str">
            <v>customer pack Y arm
returnable box &amp; palett</v>
          </cell>
          <cell r="E258" t="str">
            <v>625 parts : 25 parts / box - 25 box / palett 
no spacer (type Defender RR man)
1 labell / box + 1 / palett</v>
          </cell>
          <cell r="G258">
            <v>8.6999999999999994E-3</v>
          </cell>
          <cell r="H258">
            <v>8.6999999999999994E-3</v>
          </cell>
        </row>
        <row r="259">
          <cell r="D259" t="str">
            <v>DEL100NC10</v>
          </cell>
          <cell r="E259" t="str">
            <v>plastic material</v>
          </cell>
          <cell r="G259">
            <v>2.56</v>
          </cell>
          <cell r="H259">
            <v>2.56</v>
          </cell>
          <cell r="K259" t="str">
            <v>validity : 01 04 02 --&gt;31 03 03 Dupont info / 25Kgmini / sinon +0,06€/Kg</v>
          </cell>
        </row>
        <row r="260">
          <cell r="D260" t="str">
            <v>DEL 500ALNC10</v>
          </cell>
          <cell r="E260" t="str">
            <v>plastic material</v>
          </cell>
          <cell r="G260">
            <v>4.95</v>
          </cell>
          <cell r="H260">
            <v>4.95</v>
          </cell>
          <cell r="K260" t="str">
            <v>FY05</v>
          </cell>
        </row>
        <row r="261">
          <cell r="D261" t="str">
            <v>delrin 100 naturel</v>
          </cell>
          <cell r="E261" t="str">
            <v>Delrin 100 Naturel</v>
          </cell>
          <cell r="G261">
            <v>2.93</v>
          </cell>
          <cell r="H261">
            <v>2.93</v>
          </cell>
          <cell r="K261">
            <v>2003</v>
          </cell>
        </row>
        <row r="262">
          <cell r="D262" t="str">
            <v>EPDM</v>
          </cell>
          <cell r="E262" t="str">
            <v>EPDM</v>
          </cell>
          <cell r="G262">
            <v>2.1</v>
          </cell>
          <cell r="H262">
            <v>2.1</v>
          </cell>
          <cell r="K262">
            <v>2002</v>
          </cell>
        </row>
        <row r="263">
          <cell r="D263" t="str">
            <v>galfan thick. 12/10</v>
          </cell>
          <cell r="E263" t="str">
            <v>Spec FMT 031</v>
          </cell>
          <cell r="G263">
            <v>0.82643</v>
          </cell>
          <cell r="I263">
            <v>0.82643</v>
          </cell>
          <cell r="K263" t="str">
            <v>16/11/04 - Increasing of price : +25% due to the crisis</v>
          </cell>
        </row>
        <row r="264">
          <cell r="D264" t="str">
            <v>galfan thick. 15/10</v>
          </cell>
          <cell r="E264" t="str">
            <v>Spec FMT 003</v>
          </cell>
          <cell r="G264">
            <v>0.80320800000000003</v>
          </cell>
          <cell r="I264">
            <v>0.80320800000000003</v>
          </cell>
          <cell r="K264" t="str">
            <v>16/11/04 - Increasing of price : +25% due to the crisis</v>
          </cell>
        </row>
        <row r="265">
          <cell r="D265" t="str">
            <v>galfan thick. 20/10</v>
          </cell>
          <cell r="E265" t="str">
            <v>Specification FMT 009</v>
          </cell>
          <cell r="G265">
            <v>0.64611799999999997</v>
          </cell>
          <cell r="I265">
            <v>0.64611799999999997</v>
          </cell>
          <cell r="K265" t="str">
            <v>16/11/04 - Increasing of price : +25% due to the crisis</v>
          </cell>
        </row>
        <row r="266">
          <cell r="D266" t="str">
            <v>galva thick. 15/10</v>
          </cell>
          <cell r="E266" t="str">
            <v>Spec FMT 026</v>
          </cell>
          <cell r="G266">
            <v>0.80171906000000015</v>
          </cell>
          <cell r="I266">
            <v>0.80171906000000015</v>
          </cell>
          <cell r="K266" t="str">
            <v>16/11/04 - Increasing of price : +25% due to the crisis</v>
          </cell>
        </row>
        <row r="267">
          <cell r="D267" t="str">
            <v>galva thick. 25/10</v>
          </cell>
          <cell r="E267" t="str">
            <v>Specification FMT 006 / 034</v>
          </cell>
          <cell r="G267">
            <v>0.62836000000000003</v>
          </cell>
          <cell r="I267">
            <v>0.62836000000000003</v>
          </cell>
          <cell r="K267" t="str">
            <v>16/11/04 - Increasing of price : +25% due to the crisis</v>
          </cell>
        </row>
        <row r="268">
          <cell r="D268" t="str">
            <v>galva thick. 30/10</v>
          </cell>
          <cell r="E268" t="str">
            <v>Specification FMT 005 / 033</v>
          </cell>
          <cell r="G268">
            <v>0.78954800000000003</v>
          </cell>
          <cell r="I268">
            <v>0.78954800000000003</v>
          </cell>
          <cell r="K268" t="str">
            <v>16/11/04 - Increasing of price : +25% due to the crisis</v>
          </cell>
        </row>
        <row r="269">
          <cell r="D269" t="str">
            <v>grease  Bjo/SL</v>
          </cell>
          <cell r="E269" t="str">
            <v>FMG001 Bjo/SL w/o pullies - (2gr - type EQ)</v>
          </cell>
          <cell r="F269" t="str">
            <v>TARGET</v>
          </cell>
          <cell r="G269">
            <v>1.064E-2</v>
          </cell>
          <cell r="H269">
            <v>1.064E-2</v>
          </cell>
        </row>
        <row r="270">
          <cell r="D270" t="str">
            <v>grease (1) man plate assy</v>
          </cell>
          <cell r="E270" t="str">
            <v>FMG001 - (1gr)</v>
          </cell>
          <cell r="F270" t="str">
            <v>TARGET</v>
          </cell>
          <cell r="G270">
            <v>5.3200000000000001E-3</v>
          </cell>
          <cell r="I270">
            <v>5.3200000000000001E-3</v>
          </cell>
        </row>
        <row r="271">
          <cell r="D271" t="str">
            <v>grease (3) manual plate assy</v>
          </cell>
          <cell r="E271" t="str">
            <v>FMG003 - (3gr)</v>
          </cell>
          <cell r="F271" t="str">
            <v>TARGET</v>
          </cell>
          <cell r="G271">
            <v>2.1650000000000003E-3</v>
          </cell>
          <cell r="I271">
            <v>2.1650000000000003E-3</v>
          </cell>
        </row>
        <row r="272">
          <cell r="D272" t="str">
            <v>grease 1 pulley</v>
          </cell>
          <cell r="E272" t="str">
            <v>FMG001 - 2,1gr</v>
          </cell>
          <cell r="F272" t="str">
            <v>TARGET</v>
          </cell>
          <cell r="G272">
            <v>1.1172E-2</v>
          </cell>
          <cell r="H272">
            <v>1.1172E-2</v>
          </cell>
        </row>
        <row r="273">
          <cell r="D273" t="str">
            <v>grease 2 pullies</v>
          </cell>
          <cell r="E273" t="str">
            <v>FMG001 - 4,2gr</v>
          </cell>
          <cell r="F273" t="str">
            <v>TARGET</v>
          </cell>
          <cell r="G273">
            <v>2.2599999999999999E-2</v>
          </cell>
          <cell r="H273">
            <v>2.2599999999999999E-2</v>
          </cell>
        </row>
        <row r="274">
          <cell r="D274" t="str">
            <v>grease DL</v>
          </cell>
          <cell r="E274" t="str">
            <v>FMG001 DL w/o pullies - (5gr - type X81)</v>
          </cell>
          <cell r="F274" t="str">
            <v>TARGET</v>
          </cell>
          <cell r="G274">
            <v>2.6600000000000002E-2</v>
          </cell>
          <cell r="H274">
            <v>2.6600000000000002E-2</v>
          </cell>
        </row>
        <row r="275">
          <cell r="D275" t="str">
            <v>grease for Y arm</v>
          </cell>
          <cell r="E275" t="str">
            <v>FMG005 - (12gr - type 906DC)</v>
          </cell>
          <cell r="F275" t="str">
            <v>TARGET</v>
          </cell>
          <cell r="G275">
            <v>1.6E-2</v>
          </cell>
          <cell r="H275">
            <v>1.6E-2</v>
          </cell>
        </row>
        <row r="276">
          <cell r="D276" t="str">
            <v>grease X arm</v>
          </cell>
          <cell r="E276" t="str">
            <v>FMG005 - (12gr - type S4316)</v>
          </cell>
          <cell r="F276" t="str">
            <v>TARGET</v>
          </cell>
          <cell r="G276">
            <v>4.0820000000000002E-2</v>
          </cell>
          <cell r="H276">
            <v>4.0820000000000002E-2</v>
          </cell>
        </row>
        <row r="277">
          <cell r="D277" t="str">
            <v>Hostaform C13031 natural</v>
          </cell>
          <cell r="E277" t="str">
            <v>Higher Stifmess grade</v>
          </cell>
          <cell r="G277">
            <v>2.75</v>
          </cell>
          <cell r="H277">
            <v>2.75</v>
          </cell>
          <cell r="K277" t="str">
            <v>2004 - contrat ARM</v>
          </cell>
        </row>
        <row r="278">
          <cell r="D278" t="str">
            <v xml:space="preserve">Hostaform C2521 14  / C9021 14 </v>
          </cell>
          <cell r="E278" t="str">
            <v>Standard grade</v>
          </cell>
          <cell r="G278">
            <v>2.4</v>
          </cell>
          <cell r="H278">
            <v>2.4</v>
          </cell>
          <cell r="K278">
            <v>2004</v>
          </cell>
        </row>
        <row r="279">
          <cell r="D279" t="str">
            <v>Hostaform C2521 LS 14</v>
          </cell>
          <cell r="E279" t="str">
            <v>UV stabilized basic grade</v>
          </cell>
          <cell r="G279">
            <v>2.96</v>
          </cell>
          <cell r="H279">
            <v>2.96</v>
          </cell>
          <cell r="K279" t="str">
            <v>2003 - contrat ARM</v>
          </cell>
        </row>
        <row r="280">
          <cell r="D280" t="str">
            <v>Hostaform C2521 M</v>
          </cell>
          <cell r="E280" t="str">
            <v>Grade with improved slip/wear properties</v>
          </cell>
          <cell r="G280">
            <v>4.55</v>
          </cell>
          <cell r="H280">
            <v>4.55</v>
          </cell>
          <cell r="K280" t="str">
            <v>2003 - contrat ARM</v>
          </cell>
        </row>
        <row r="281">
          <cell r="D281" t="str">
            <v>Hostaform C2521/C9021/C13021/C27021/C52021 naturel</v>
          </cell>
          <cell r="E281" t="str">
            <v>Standard grade</v>
          </cell>
          <cell r="G281">
            <v>2.2000000000000002</v>
          </cell>
          <cell r="H281">
            <v>2.2000000000000002</v>
          </cell>
          <cell r="K281">
            <v>2004</v>
          </cell>
        </row>
        <row r="282">
          <cell r="D282" t="str">
            <v>Hostaform C9021 10/1570</v>
          </cell>
          <cell r="E282" t="str">
            <v>UV resistant grade</v>
          </cell>
          <cell r="G282">
            <v>2.94</v>
          </cell>
          <cell r="H282">
            <v>2.94</v>
          </cell>
          <cell r="K282" t="str">
            <v>2003 - contrat ARM</v>
          </cell>
        </row>
        <row r="283">
          <cell r="D283" t="str">
            <v>Hostaform C9021 87</v>
          </cell>
          <cell r="G283">
            <v>3.28</v>
          </cell>
          <cell r="H283">
            <v>3.28</v>
          </cell>
          <cell r="K283" t="str">
            <v>2003 - contrat ARM</v>
          </cell>
        </row>
        <row r="284">
          <cell r="D284" t="str">
            <v>Hostaform C9021 AW</v>
          </cell>
          <cell r="E284" t="str">
            <v>Grade with improved slip/wear properties</v>
          </cell>
          <cell r="G284">
            <v>3.76</v>
          </cell>
          <cell r="H284">
            <v>3.76</v>
          </cell>
          <cell r="K284" t="str">
            <v>2003 - contrat ARM</v>
          </cell>
        </row>
        <row r="285">
          <cell r="D285" t="str">
            <v>Hostaform C9021 AW 14</v>
          </cell>
          <cell r="E285" t="str">
            <v>Grade with improved slip/wear properties</v>
          </cell>
          <cell r="G285">
            <v>3.91</v>
          </cell>
          <cell r="H285">
            <v>3.91</v>
          </cell>
          <cell r="K285" t="str">
            <v>2003 - contrat ARM</v>
          </cell>
        </row>
        <row r="286">
          <cell r="D286" t="str">
            <v>Hostaform C9021 GV 1/10, GV 1/20,GV 1/30</v>
          </cell>
          <cell r="E286" t="str">
            <v>Glass fibres / beads reinforced grade</v>
          </cell>
          <cell r="G286">
            <v>3.86</v>
          </cell>
          <cell r="H286">
            <v>3.86</v>
          </cell>
          <cell r="K286" t="str">
            <v>2003 - contrat ARM</v>
          </cell>
        </row>
        <row r="287">
          <cell r="D287" t="str">
            <v>Hostaform C9021 GV 1/20 14, GV 1/30 14</v>
          </cell>
          <cell r="E287" t="str">
            <v>Glass fibres / beads reinforced grade</v>
          </cell>
          <cell r="G287">
            <v>4.22</v>
          </cell>
          <cell r="H287">
            <v>4.22</v>
          </cell>
          <cell r="K287" t="str">
            <v>2003 - contrat ARM</v>
          </cell>
        </row>
        <row r="288">
          <cell r="D288" t="str">
            <v>Hostaform C9021 GV 3/10 10/1570</v>
          </cell>
          <cell r="E288" t="str">
            <v>Glass fibres / beads reinforced grade</v>
          </cell>
          <cell r="G288">
            <v>4.68</v>
          </cell>
          <cell r="H288">
            <v>4.68</v>
          </cell>
          <cell r="K288" t="str">
            <v>2003 - contrat ARM</v>
          </cell>
        </row>
        <row r="289">
          <cell r="D289" t="str">
            <v>Hostaform C9021 K</v>
          </cell>
          <cell r="G289">
            <v>3.78</v>
          </cell>
          <cell r="H289">
            <v>3.78</v>
          </cell>
          <cell r="K289" t="str">
            <v>2003 - contrat ARM</v>
          </cell>
        </row>
        <row r="290">
          <cell r="D290" t="str">
            <v>Hostaform C9021 M / C9021 XAP M</v>
          </cell>
          <cell r="E290" t="str">
            <v>Grade with improved slip/wear properties</v>
          </cell>
          <cell r="G290">
            <v>3.78</v>
          </cell>
          <cell r="H290">
            <v>3.78</v>
          </cell>
          <cell r="K290" t="str">
            <v>2003 - contrat ARM</v>
          </cell>
        </row>
        <row r="291">
          <cell r="D291" t="str">
            <v>Hostaform C9021 S OEK, silicon oil masterbatch</v>
          </cell>
          <cell r="G291">
            <v>8.93</v>
          </cell>
          <cell r="H291">
            <v>8.93</v>
          </cell>
          <cell r="K291" t="str">
            <v>2003 - contrat ARM</v>
          </cell>
        </row>
        <row r="292">
          <cell r="D292" t="str">
            <v>Hostaform C9021 SW</v>
          </cell>
          <cell r="E292" t="str">
            <v>Grade with improved slip/wear properties</v>
          </cell>
          <cell r="G292">
            <v>4.34</v>
          </cell>
          <cell r="H292">
            <v>4.34</v>
          </cell>
          <cell r="K292" t="str">
            <v>2003 - contrat ARM</v>
          </cell>
        </row>
        <row r="293">
          <cell r="D293" t="str">
            <v>Hostaform C9021 TF</v>
          </cell>
          <cell r="E293" t="str">
            <v>Grade with improved slip/wear properties</v>
          </cell>
          <cell r="G293">
            <v>9.74</v>
          </cell>
          <cell r="H293">
            <v>9.74</v>
          </cell>
          <cell r="K293" t="str">
            <v>2003 - contrat ARM</v>
          </cell>
        </row>
        <row r="294">
          <cell r="D294" t="str">
            <v>Hostaform FK 1:25 14</v>
          </cell>
          <cell r="E294" t="str">
            <v>colour masterbatche</v>
          </cell>
          <cell r="G294">
            <v>8.9499999999999993</v>
          </cell>
          <cell r="H294">
            <v>8.9499999999999993</v>
          </cell>
          <cell r="K294" t="str">
            <v>2003 - contrat ARM</v>
          </cell>
        </row>
        <row r="295">
          <cell r="D295" t="str">
            <v>Hostaform FK 1:25 36</v>
          </cell>
          <cell r="E295" t="str">
            <v>colour masterbatche</v>
          </cell>
          <cell r="G295">
            <v>11.55</v>
          </cell>
          <cell r="H295">
            <v>11.55</v>
          </cell>
          <cell r="K295" t="str">
            <v>2003 - contrat ARM</v>
          </cell>
        </row>
        <row r="296">
          <cell r="D296" t="str">
            <v>Hostaform FK 1:25 76</v>
          </cell>
          <cell r="E296" t="str">
            <v>colour masterbatche</v>
          </cell>
          <cell r="G296">
            <v>13.4</v>
          </cell>
          <cell r="H296">
            <v>13.4</v>
          </cell>
          <cell r="K296" t="str">
            <v>2003 - contrat ARM</v>
          </cell>
        </row>
        <row r="297">
          <cell r="D297" t="str">
            <v>Hostaform S9243 / S9063 / S27063</v>
          </cell>
          <cell r="E297" t="str">
            <v>High impact grade</v>
          </cell>
          <cell r="G297">
            <v>3.83</v>
          </cell>
          <cell r="H297">
            <v>3.83</v>
          </cell>
          <cell r="K297" t="str">
            <v>2003 - contrat ARM</v>
          </cell>
        </row>
        <row r="298">
          <cell r="D298" t="str">
            <v>Hostaform S9244 / S9064 / S27064</v>
          </cell>
          <cell r="E298" t="str">
            <v>High impact grade</v>
          </cell>
          <cell r="G298">
            <v>4.22</v>
          </cell>
          <cell r="H298">
            <v>4.22</v>
          </cell>
          <cell r="K298" t="str">
            <v>2003 - contrat ARM</v>
          </cell>
        </row>
        <row r="299">
          <cell r="D299" t="str">
            <v>Hostaform X341/37</v>
          </cell>
          <cell r="E299" t="str">
            <v>Grade with improved slip/wear properties</v>
          </cell>
          <cell r="G299">
            <v>4.92</v>
          </cell>
          <cell r="H299">
            <v>4.92</v>
          </cell>
          <cell r="K299" t="str">
            <v>2004 - contrat ARM</v>
          </cell>
        </row>
        <row r="300">
          <cell r="D300" t="str">
            <v>Hostaform X343</v>
          </cell>
          <cell r="E300" t="str">
            <v>Grade with improved slip/wear properties</v>
          </cell>
          <cell r="G300">
            <v>2.63</v>
          </cell>
          <cell r="H300">
            <v>2.63</v>
          </cell>
          <cell r="K300" t="str">
            <v>2003 - contrat ARM</v>
          </cell>
        </row>
        <row r="301">
          <cell r="D301" t="str">
            <v>PA6/6 30GF</v>
          </cell>
          <cell r="E301" t="str">
            <v>PA6/6 30GF</v>
          </cell>
          <cell r="G301">
            <v>2.59</v>
          </cell>
          <cell r="I301">
            <v>2.59</v>
          </cell>
          <cell r="K301" t="str">
            <v xml:space="preserve"> issu d'1 offre Imtec - tensioneur 4335 - juillet 2003</v>
          </cell>
        </row>
        <row r="302">
          <cell r="D302" t="str">
            <v>PBT GF30</v>
          </cell>
          <cell r="E302" t="str">
            <v>PBT GF30</v>
          </cell>
          <cell r="G302">
            <v>2.21</v>
          </cell>
          <cell r="H302">
            <v>2.21</v>
          </cell>
          <cell r="K302">
            <v>2004</v>
          </cell>
        </row>
        <row r="303">
          <cell r="D303" t="str">
            <v>PEHB</v>
          </cell>
          <cell r="E303" t="str">
            <v>PEHB</v>
          </cell>
          <cell r="G303">
            <v>1.6</v>
          </cell>
          <cell r="H303">
            <v>1.6</v>
          </cell>
          <cell r="I303">
            <v>1.6</v>
          </cell>
          <cell r="K303">
            <v>2003</v>
          </cell>
        </row>
        <row r="304">
          <cell r="D304" t="str">
            <v>POLYPROPYLENE</v>
          </cell>
          <cell r="E304" t="str">
            <v>PP U 1752</v>
          </cell>
          <cell r="G304">
            <v>1.2</v>
          </cell>
          <cell r="H304">
            <v>2.31</v>
          </cell>
          <cell r="K304" t="str">
            <v>2004 - OFFRE Boulay - inviloabilité J77</v>
          </cell>
        </row>
        <row r="305">
          <cell r="D305" t="str">
            <v>POM - Hostaform C9021 naturel</v>
          </cell>
          <cell r="G305">
            <v>2.1</v>
          </cell>
          <cell r="H305">
            <v>2.1</v>
          </cell>
          <cell r="K305" t="str">
            <v>2003 - contrat ARM</v>
          </cell>
        </row>
        <row r="306">
          <cell r="D306" t="str">
            <v>PP GF 30 0403 P10/10</v>
          </cell>
          <cell r="E306" t="str">
            <v>PP GF 30 0403 P10/10</v>
          </cell>
          <cell r="G306">
            <v>2.2599999999999998</v>
          </cell>
          <cell r="H306">
            <v>2.2599999999999998</v>
          </cell>
          <cell r="K306">
            <v>2002</v>
          </cell>
        </row>
        <row r="307">
          <cell r="D307" t="str">
            <v>PP GF 30 0414 P10/10</v>
          </cell>
          <cell r="E307" t="str">
            <v>PP GF 30 0414 P10/10</v>
          </cell>
          <cell r="G307">
            <v>2.31</v>
          </cell>
          <cell r="H307">
            <v>2.31</v>
          </cell>
          <cell r="K307">
            <v>2002</v>
          </cell>
        </row>
        <row r="308">
          <cell r="D308" t="str">
            <v>PP GF 50 0453 P10/10</v>
          </cell>
          <cell r="E308" t="str">
            <v>PP GF 50 0453 P10/10</v>
          </cell>
          <cell r="G308">
            <v>2.5099999999999998</v>
          </cell>
          <cell r="H308">
            <v>2.5099999999999998</v>
          </cell>
          <cell r="K308">
            <v>2002</v>
          </cell>
        </row>
        <row r="309">
          <cell r="D309" t="str">
            <v>PP GF 50 0455 P10/10</v>
          </cell>
          <cell r="E309" t="str">
            <v>PP GF 50 0455 P10/10</v>
          </cell>
          <cell r="G309">
            <v>2.4</v>
          </cell>
          <cell r="H309">
            <v>2.4</v>
          </cell>
          <cell r="K309">
            <v>2002</v>
          </cell>
        </row>
        <row r="310">
          <cell r="D310" t="str">
            <v>PP GF 50 BV337 P10/10</v>
          </cell>
          <cell r="E310" t="str">
            <v>PP GF 50 BV337 P10/10</v>
          </cell>
          <cell r="G310">
            <v>3.11</v>
          </cell>
          <cell r="H310">
            <v>3.11</v>
          </cell>
          <cell r="K310">
            <v>2002</v>
          </cell>
        </row>
        <row r="311">
          <cell r="D311" t="str">
            <v>PP30GF</v>
          </cell>
          <cell r="E311" t="str">
            <v>PP30GF</v>
          </cell>
          <cell r="G311">
            <v>2.0499999999999998</v>
          </cell>
          <cell r="H311">
            <v>2.0499999999999998</v>
          </cell>
          <cell r="K311">
            <v>2002</v>
          </cell>
        </row>
        <row r="312">
          <cell r="D312" t="str">
            <v>rail painting (complete surface)</v>
          </cell>
          <cell r="E312" t="str">
            <v xml:space="preserve">Epoxy PE 55 - 9403 thickness 100 ±20 </v>
          </cell>
          <cell r="F312" t="str">
            <v>BUY</v>
          </cell>
          <cell r="G312">
            <v>0.255</v>
          </cell>
          <cell r="H312">
            <v>0.19</v>
          </cell>
          <cell r="I312">
            <v>0.255</v>
          </cell>
          <cell r="K312" t="str">
            <v>Eric Naber information - Audi B8 - FY05</v>
          </cell>
        </row>
        <row r="313">
          <cell r="D313" t="str">
            <v>rail painting (protection of 1 VRP2 area)</v>
          </cell>
          <cell r="E313" t="str">
            <v xml:space="preserve">Epoxy PE 55 - 9403 thickness 100 ±20 </v>
          </cell>
          <cell r="F313" t="str">
            <v>ESTIMATED</v>
          </cell>
          <cell r="G313">
            <v>0.42499999999999999</v>
          </cell>
          <cell r="H313">
            <v>0.25</v>
          </cell>
          <cell r="I313">
            <v>0.42499999999999999</v>
          </cell>
          <cell r="K313" t="str">
            <v>Extrapolation Consult Karsit Rails C44 - FY05</v>
          </cell>
        </row>
        <row r="314">
          <cell r="D314" t="str">
            <v>rail painting (protection of 2 VRP2 area)</v>
          </cell>
          <cell r="E314" t="str">
            <v xml:space="preserve">Epoxy PE 55 - 9403 thickness 100 ±20 </v>
          </cell>
          <cell r="F314" t="str">
            <v>BUY</v>
          </cell>
          <cell r="G314">
            <v>0.58099999999999996</v>
          </cell>
          <cell r="H314">
            <v>0.29499999999999998</v>
          </cell>
          <cell r="I314">
            <v>0.58099999999999996</v>
          </cell>
          <cell r="K314" t="str">
            <v>Consult Karsit Rails C44 - FY05</v>
          </cell>
        </row>
        <row r="315">
          <cell r="D315" t="str">
            <v>S27063 14</v>
          </cell>
          <cell r="E315" t="str">
            <v>High impact grade</v>
          </cell>
          <cell r="G315">
            <v>4.63</v>
          </cell>
          <cell r="H315">
            <v>4.63</v>
          </cell>
          <cell r="K315" t="str">
            <v>2003 - contrat ARM</v>
          </cell>
        </row>
        <row r="316">
          <cell r="D316" t="str">
            <v>Std Painting Rail</v>
          </cell>
          <cell r="G316">
            <v>0.32</v>
          </cell>
          <cell r="H316">
            <v>0.32</v>
          </cell>
          <cell r="I316">
            <v>0.32</v>
          </cell>
        </row>
        <row r="317">
          <cell r="D317" t="str">
            <v>tub</v>
          </cell>
          <cell r="E317" t="str">
            <v xml:space="preserve">Tube POM H2320 004 pour cable intermédiaire </v>
          </cell>
          <cell r="F317" t="str">
            <v>TARGET</v>
          </cell>
          <cell r="G317">
            <v>7.6200000000000004E-2</v>
          </cell>
          <cell r="I317">
            <v>7.6200000000000004E-2</v>
          </cell>
          <cell r="K317" t="str">
            <v xml:space="preserve">pour cd e de 48Km/mois - bobine de 3Kms   outil : 400euro </v>
          </cell>
        </row>
        <row r="318">
          <cell r="D318" t="str">
            <v>ZAMAK</v>
          </cell>
          <cell r="E318" t="str">
            <v>ZAMAK</v>
          </cell>
          <cell r="G318">
            <v>1.2390000000000001</v>
          </cell>
          <cell r="H318">
            <v>1.2390000000000001</v>
          </cell>
          <cell r="K318">
            <v>2003</v>
          </cell>
        </row>
        <row r="319">
          <cell r="D319" t="str">
            <v>ZYT101F BK009</v>
          </cell>
          <cell r="E319" t="str">
            <v>plastic material</v>
          </cell>
          <cell r="G319">
            <v>2.59</v>
          </cell>
          <cell r="H319">
            <v>2.59</v>
          </cell>
          <cell r="K319" t="str">
            <v>validity : 01 04 02 --&gt;31 03 03 Dupont info / 25Kgmini / sinon +0,06€/Kg</v>
          </cell>
        </row>
        <row r="320">
          <cell r="D320" t="str">
            <v>ZYT101F NC010</v>
          </cell>
          <cell r="E320" t="str">
            <v>plastic material</v>
          </cell>
          <cell r="G320">
            <v>2.59</v>
          </cell>
          <cell r="H320">
            <v>2.59</v>
          </cell>
          <cell r="K320" t="str">
            <v>validity : 01 04 02 --&gt;31 03 03 Dupont info / 25Kgmini / sinon +0,06€/Kg</v>
          </cell>
        </row>
        <row r="321">
          <cell r="D321" t="str">
            <v>ZYT103HSL NC010</v>
          </cell>
          <cell r="E321" t="str">
            <v>plastic material</v>
          </cell>
          <cell r="G321">
            <v>2.82</v>
          </cell>
          <cell r="H321">
            <v>2.82</v>
          </cell>
          <cell r="K321" t="str">
            <v>validity : 01 04 02 --&gt;31 03 03 Dupont info / 25Kgmini / sinon +0,06€/Kg</v>
          </cell>
        </row>
        <row r="322">
          <cell r="D322" t="str">
            <v>ZYT135F BK207</v>
          </cell>
          <cell r="E322" t="str">
            <v>plastic material</v>
          </cell>
          <cell r="G322">
            <v>2.82</v>
          </cell>
          <cell r="H322">
            <v>2.82</v>
          </cell>
          <cell r="K322" t="str">
            <v>validity : 01 04 02 --&gt;31 03 03 Dupont info / 25Kgmini / sinon +0,06€/Kg</v>
          </cell>
        </row>
        <row r="323">
          <cell r="D323" t="str">
            <v>ZYT135F BK207</v>
          </cell>
          <cell r="E323" t="str">
            <v>plastic material</v>
          </cell>
          <cell r="G323">
            <v>2.82</v>
          </cell>
          <cell r="H323">
            <v>2.82</v>
          </cell>
          <cell r="K323" t="str">
            <v>validity : 01 04 02 --&gt;31 03 03 Dupont info / 25Kgmini / sinon +0,06€/Kg</v>
          </cell>
        </row>
        <row r="324">
          <cell r="D324" t="str">
            <v>ZYT135F NC010</v>
          </cell>
          <cell r="E324" t="str">
            <v>plastic material</v>
          </cell>
          <cell r="G324">
            <v>2.82</v>
          </cell>
          <cell r="H324">
            <v>2.82</v>
          </cell>
          <cell r="K324" t="str">
            <v>validity : 01 04 02 --&gt;31 03 03 Dupont info / 25Kgmini / sinon +0,06€/Kg</v>
          </cell>
        </row>
        <row r="325">
          <cell r="D325" t="str">
            <v>ZYT135FA BK207</v>
          </cell>
          <cell r="E325" t="str">
            <v>plastic material</v>
          </cell>
          <cell r="G325">
            <v>2.82</v>
          </cell>
          <cell r="H325">
            <v>2.82</v>
          </cell>
          <cell r="K325" t="str">
            <v>validity : 01 04 02 --&gt;31 03 03 Dupont info / 25Kgmini / sinon +0,06€/Kg</v>
          </cell>
        </row>
        <row r="326">
          <cell r="D326" t="str">
            <v>ZYT135FA BKB207</v>
          </cell>
          <cell r="E326" t="str">
            <v>plastic material</v>
          </cell>
          <cell r="G326">
            <v>2.82</v>
          </cell>
          <cell r="H326">
            <v>2.82</v>
          </cell>
          <cell r="K326" t="str">
            <v>validity : 01 04 02 --&gt;31 03 03 Dupont info / 25Kgmini / sinon +0,06€/Kg</v>
          </cell>
        </row>
        <row r="327">
          <cell r="D327" t="str">
            <v>ZYT135FA NC010</v>
          </cell>
          <cell r="E327" t="str">
            <v>plastic material</v>
          </cell>
          <cell r="G327">
            <v>2.82</v>
          </cell>
          <cell r="H327">
            <v>2.82</v>
          </cell>
          <cell r="K327" t="str">
            <v>validity : 01 04 02 --&gt;31 03 03 Dupont info / 25Kgmini / sinon +0,06€/Kg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>
        <row r="2">
          <cell r="AV2">
            <v>0</v>
          </cell>
          <cell r="AW2">
            <v>0</v>
          </cell>
        </row>
        <row r="3">
          <cell r="O3">
            <v>0</v>
          </cell>
          <cell r="P3">
            <v>0</v>
          </cell>
          <cell r="Q3">
            <v>0</v>
          </cell>
          <cell r="R3">
            <v>0</v>
          </cell>
          <cell r="AV3" t="str">
            <v>FR -&gt; Braz</v>
          </cell>
          <cell r="AW3">
            <v>0.126</v>
          </cell>
        </row>
        <row r="4">
          <cell r="C4">
            <v>0</v>
          </cell>
          <cell r="G4">
            <v>0</v>
          </cell>
          <cell r="H4">
            <v>0</v>
          </cell>
          <cell r="L4" t="str">
            <v>Assumption</v>
          </cell>
          <cell r="N4" t="str">
            <v>Stamping bracket</v>
          </cell>
          <cell r="P4">
            <v>4.4999999999999998E-2</v>
          </cell>
          <cell r="AV4" t="str">
            <v>FR -&gt; Chine (componants)</v>
          </cell>
          <cell r="AW4">
            <v>0.35</v>
          </cell>
        </row>
        <row r="5">
          <cell r="N5" t="str">
            <v>Stamping bracket with thread</v>
          </cell>
          <cell r="P5">
            <v>0.05</v>
          </cell>
          <cell r="AK5" t="str">
            <v>Bjo cable</v>
          </cell>
          <cell r="AL5">
            <v>1200</v>
          </cell>
          <cell r="AM5" t="str">
            <v>specific</v>
          </cell>
          <cell r="AN5">
            <v>10</v>
          </cell>
          <cell r="AO5">
            <v>8.3333333333333332E-3</v>
          </cell>
          <cell r="AP5" t="str">
            <v>Eur.Truck 1 way</v>
          </cell>
          <cell r="AQ5">
            <v>1.07</v>
          </cell>
          <cell r="AV5" t="str">
            <v>FR -&gt; Chine (motor)</v>
          </cell>
          <cell r="AW5">
            <v>0.2</v>
          </cell>
        </row>
        <row r="6">
          <cell r="C6" t="str">
            <v>BUY</v>
          </cell>
          <cell r="AP6" t="str">
            <v>Eur.Truck 2 way</v>
          </cell>
          <cell r="AQ6">
            <v>1.7</v>
          </cell>
        </row>
        <row r="7">
          <cell r="C7" t="str">
            <v>ESTIMATED</v>
          </cell>
          <cell r="N7" t="str">
            <v>Stamping plate</v>
          </cell>
          <cell r="P7">
            <v>0.05</v>
          </cell>
          <cell r="AK7" t="str">
            <v>Bowden cable</v>
          </cell>
          <cell r="AL7">
            <v>1000</v>
          </cell>
          <cell r="AM7" t="str">
            <v>specific</v>
          </cell>
          <cell r="AN7">
            <v>10</v>
          </cell>
          <cell r="AO7">
            <v>0.01</v>
          </cell>
          <cell r="AP7" t="str">
            <v>Eur. Truck/Boat 1 way</v>
          </cell>
          <cell r="AQ7">
            <v>1.8</v>
          </cell>
          <cell r="AV7" t="str">
            <v>FR -&gt; Mexico</v>
          </cell>
          <cell r="AW7">
            <v>4.3999999999999997E-2</v>
          </cell>
        </row>
        <row r="8">
          <cell r="C8" t="str">
            <v>BUY &amp; ASSY by ARM</v>
          </cell>
          <cell r="N8" t="str">
            <v>Stamping plate with thread</v>
          </cell>
          <cell r="P8">
            <v>0.06</v>
          </cell>
          <cell r="AK8" t="str">
            <v>stamped rail - kit mod</v>
          </cell>
          <cell r="AL8">
            <v>800</v>
          </cell>
          <cell r="AM8" t="str">
            <v>kit mod</v>
          </cell>
          <cell r="AN8">
            <v>22.324000000000002</v>
          </cell>
          <cell r="AO8">
            <v>2.7905000000000003E-2</v>
          </cell>
          <cell r="AP8" t="str">
            <v>Eur. Truck/Boat 2 way</v>
          </cell>
          <cell r="AQ8">
            <v>2.1</v>
          </cell>
        </row>
        <row r="9">
          <cell r="C9" t="str">
            <v xml:space="preserve">BUY in Est Europ </v>
          </cell>
          <cell r="F9">
            <v>0.08</v>
          </cell>
          <cell r="N9" t="str">
            <v>Stamping rail</v>
          </cell>
          <cell r="P9">
            <v>0.06</v>
          </cell>
          <cell r="AK9" t="str">
            <v>FRT carrier - container</v>
          </cell>
          <cell r="AL9">
            <v>70</v>
          </cell>
          <cell r="AM9" t="str">
            <v>Brux.container</v>
          </cell>
          <cell r="AO9">
            <v>0</v>
          </cell>
        </row>
        <row r="10">
          <cell r="C10" t="str">
            <v>BUY &amp; ASSY in West Europ</v>
          </cell>
          <cell r="F10">
            <v>0.08</v>
          </cell>
          <cell r="I10">
            <v>0.2</v>
          </cell>
          <cell r="N10" t="str">
            <v>Stamping rail with thread</v>
          </cell>
          <cell r="P10">
            <v>7.0000000000000007E-2</v>
          </cell>
          <cell r="AK10" t="str">
            <v>RR carrier - container</v>
          </cell>
          <cell r="AL10">
            <v>0</v>
          </cell>
          <cell r="AM10" t="str">
            <v>Brux.container</v>
          </cell>
          <cell r="AO10" t="e">
            <v>#DIV/0!</v>
          </cell>
        </row>
        <row r="11">
          <cell r="C11" t="str">
            <v xml:space="preserve">BUY &amp; assy in Est Europ </v>
          </cell>
          <cell r="F11">
            <v>0.08</v>
          </cell>
          <cell r="G11">
            <v>5.371218487394958</v>
          </cell>
          <cell r="H11">
            <v>14.623394957983194</v>
          </cell>
          <cell r="I11">
            <v>0.2</v>
          </cell>
          <cell r="J11">
            <v>23.993536134453784</v>
          </cell>
          <cell r="K11" t="str">
            <v>type Liberec</v>
          </cell>
          <cell r="N11" t="str">
            <v>Stamping custod main plate</v>
          </cell>
          <cell r="P11">
            <v>0.35499999999999998</v>
          </cell>
          <cell r="AK11" t="str">
            <v>DL w/o motor</v>
          </cell>
          <cell r="AL11">
            <v>150</v>
          </cell>
          <cell r="AM11" t="str">
            <v>Brux.container</v>
          </cell>
          <cell r="AO11">
            <v>0</v>
          </cell>
        </row>
        <row r="12">
          <cell r="C12" t="str">
            <v>BUY - Est Europ Profiling</v>
          </cell>
          <cell r="F12">
            <v>0.2104</v>
          </cell>
          <cell r="G12">
            <v>19.22</v>
          </cell>
          <cell r="H12">
            <v>35.619999999999997</v>
          </cell>
          <cell r="I12">
            <v>0.93589999999999995</v>
          </cell>
          <cell r="K12" t="str">
            <v>GMD H (B0)</v>
          </cell>
          <cell r="N12" t="str">
            <v>Profiling Operation</v>
          </cell>
          <cell r="P12">
            <v>0.14760000000000001</v>
          </cell>
          <cell r="AK12" t="str">
            <v>elec plate</v>
          </cell>
          <cell r="AL12">
            <v>800</v>
          </cell>
          <cell r="AM12" t="str">
            <v>kit mod</v>
          </cell>
          <cell r="AN12">
            <v>22.324000000000002</v>
          </cell>
          <cell r="AO12">
            <v>2.7905000000000003E-2</v>
          </cell>
        </row>
        <row r="13">
          <cell r="C13" t="str">
            <v>BUY - West Europ Profiling</v>
          </cell>
          <cell r="F13">
            <v>0.2104</v>
          </cell>
          <cell r="G13">
            <v>17.8</v>
          </cell>
          <cell r="H13">
            <v>30.34</v>
          </cell>
          <cell r="I13">
            <v>0.93589999999999995</v>
          </cell>
          <cell r="K13" t="str">
            <v>Sully Profiling</v>
          </cell>
          <cell r="AK13" t="str">
            <v>half arm</v>
          </cell>
          <cell r="AL13">
            <v>7500</v>
          </cell>
          <cell r="AM13" t="str">
            <v>kit mod</v>
          </cell>
          <cell r="AN13">
            <v>22.324000000000002</v>
          </cell>
          <cell r="AO13">
            <v>2.9765333333333335E-3</v>
          </cell>
        </row>
        <row r="14">
          <cell r="C14" t="str">
            <v>BUY - Targ 15,24€/h</v>
          </cell>
          <cell r="F14">
            <v>0.08</v>
          </cell>
          <cell r="G14">
            <v>15.24</v>
          </cell>
          <cell r="I14">
            <v>0.2</v>
          </cell>
          <cell r="J14">
            <v>18.288</v>
          </cell>
          <cell r="N14" t="str">
            <v>molding 3,5 stroke/min</v>
          </cell>
          <cell r="P14">
            <v>0.47610000000000002</v>
          </cell>
          <cell r="AK14" t="str">
            <v>banana sector</v>
          </cell>
          <cell r="AL14">
            <v>4000</v>
          </cell>
          <cell r="AM14" t="str">
            <v>kit mod</v>
          </cell>
          <cell r="AN14">
            <v>22.324000000000002</v>
          </cell>
          <cell r="AO14">
            <v>5.581E-3</v>
          </cell>
        </row>
        <row r="15">
          <cell r="C15" t="str">
            <v>BUY - Targ 22,87€/h (150)</v>
          </cell>
          <cell r="F15">
            <v>0.08</v>
          </cell>
          <cell r="G15">
            <v>22.87</v>
          </cell>
          <cell r="I15">
            <v>0.2</v>
          </cell>
          <cell r="J15">
            <v>27.444000000000003</v>
          </cell>
          <cell r="N15" t="str">
            <v>molding 3 stroke/min</v>
          </cell>
          <cell r="P15">
            <v>0.55500000000000005</v>
          </cell>
          <cell r="R15" t="str">
            <v>Offre : Glass eyelett</v>
          </cell>
          <cell r="AK15" t="str">
            <v>delta sector</v>
          </cell>
          <cell r="AL15">
            <v>2000</v>
          </cell>
          <cell r="AM15" t="str">
            <v>kit mod</v>
          </cell>
          <cell r="AN15">
            <v>22.324000000000002</v>
          </cell>
          <cell r="AO15">
            <v>1.1162E-2</v>
          </cell>
        </row>
        <row r="16">
          <cell r="C16" t="str">
            <v>BUY - Targ 30,49€/h</v>
          </cell>
          <cell r="F16">
            <v>0.08</v>
          </cell>
          <cell r="G16">
            <v>30.49</v>
          </cell>
          <cell r="I16">
            <v>0.2</v>
          </cell>
          <cell r="J16">
            <v>36.588000000000001</v>
          </cell>
          <cell r="N16" t="str">
            <v>molding 2,7 stroke/min</v>
          </cell>
          <cell r="P16">
            <v>0.61699999999999999</v>
          </cell>
          <cell r="AK16" t="str">
            <v>balance spring</v>
          </cell>
          <cell r="AL16">
            <v>10000</v>
          </cell>
          <cell r="AM16" t="str">
            <v>kit mod</v>
          </cell>
          <cell r="AN16">
            <v>22.324000000000002</v>
          </cell>
          <cell r="AO16">
            <v>2.2324000000000003E-3</v>
          </cell>
        </row>
        <row r="17">
          <cell r="C17" t="str">
            <v>BUY - Targ 38,11€/h (250)</v>
          </cell>
          <cell r="F17">
            <v>0.08</v>
          </cell>
          <cell r="G17">
            <v>38.11</v>
          </cell>
          <cell r="I17">
            <v>0.2</v>
          </cell>
          <cell r="J17">
            <v>45.731999999999999</v>
          </cell>
          <cell r="N17" t="str">
            <v>molding 2,5 stroke/min</v>
          </cell>
          <cell r="P17">
            <v>0.66600000000000004</v>
          </cell>
          <cell r="AK17" t="str">
            <v>small bracket</v>
          </cell>
          <cell r="AL17">
            <v>8000</v>
          </cell>
          <cell r="AM17" t="str">
            <v>kit mod</v>
          </cell>
          <cell r="AN17">
            <v>22.324000000000002</v>
          </cell>
          <cell r="AO17">
            <v>2.7905E-3</v>
          </cell>
        </row>
        <row r="18">
          <cell r="N18" t="str">
            <v>molding 2,25 stroke/min</v>
          </cell>
          <cell r="P18">
            <v>0.74099999999999999</v>
          </cell>
          <cell r="R18" t="str">
            <v xml:space="preserve">curseur "nez" C85 </v>
          </cell>
          <cell r="AK18" t="str">
            <v>big bracket</v>
          </cell>
          <cell r="AL18">
            <v>4000</v>
          </cell>
          <cell r="AM18" t="str">
            <v>kit mod</v>
          </cell>
          <cell r="AN18">
            <v>22.324000000000002</v>
          </cell>
          <cell r="AO18">
            <v>5.581E-3</v>
          </cell>
        </row>
        <row r="19">
          <cell r="C19" t="str">
            <v>BUY - Stamping 250T West Europ</v>
          </cell>
          <cell r="F19">
            <v>0.08</v>
          </cell>
          <cell r="G19">
            <v>19.22</v>
          </cell>
          <cell r="H19">
            <v>57.78</v>
          </cell>
          <cell r="I19">
            <v>0.2</v>
          </cell>
          <cell r="J19">
            <v>92.4</v>
          </cell>
          <cell r="N19" t="str">
            <v>molding 2 stroke/min</v>
          </cell>
          <cell r="P19">
            <v>0.83299999999999996</v>
          </cell>
          <cell r="AK19" t="str">
            <v>profiled rail</v>
          </cell>
          <cell r="AL19">
            <v>2000</v>
          </cell>
          <cell r="AM19" t="str">
            <v>kit mod</v>
          </cell>
          <cell r="AN19">
            <v>22.324000000000002</v>
          </cell>
          <cell r="AO19">
            <v>1.1162E-2</v>
          </cell>
        </row>
        <row r="20">
          <cell r="C20" t="str">
            <v>BUY - Stamping 400T West Europ</v>
          </cell>
          <cell r="F20">
            <v>0.08</v>
          </cell>
          <cell r="G20">
            <v>19.22</v>
          </cell>
          <cell r="H20">
            <v>133.28</v>
          </cell>
          <cell r="I20">
            <v>0.2</v>
          </cell>
          <cell r="J20">
            <v>183</v>
          </cell>
          <cell r="N20" t="str">
            <v>molding 1,75 stroke/min</v>
          </cell>
          <cell r="P20">
            <v>0.95299999999999996</v>
          </cell>
          <cell r="AK20" t="str">
            <v>clutch box</v>
          </cell>
          <cell r="AL20">
            <v>20000</v>
          </cell>
          <cell r="AM20" t="str">
            <v>kit mod</v>
          </cell>
          <cell r="AN20">
            <v>22.324000000000002</v>
          </cell>
          <cell r="AO20">
            <v>1.1162000000000001E-3</v>
          </cell>
        </row>
        <row r="21">
          <cell r="C21" t="str">
            <v>BUY - Stamping 600T West Europ</v>
          </cell>
          <cell r="F21">
            <v>0.08</v>
          </cell>
          <cell r="G21">
            <v>19.22</v>
          </cell>
          <cell r="H21">
            <v>163.78</v>
          </cell>
          <cell r="I21">
            <v>0.2</v>
          </cell>
          <cell r="J21">
            <v>219.6</v>
          </cell>
          <cell r="N21" t="str">
            <v>molding 1,5 stroke/min</v>
          </cell>
          <cell r="P21">
            <v>1.111</v>
          </cell>
          <cell r="AK21" t="str">
            <v>upper channel</v>
          </cell>
          <cell r="AL21">
            <v>5000</v>
          </cell>
          <cell r="AM21" t="str">
            <v>kit mod</v>
          </cell>
          <cell r="AN21">
            <v>22.324000000000002</v>
          </cell>
          <cell r="AO21">
            <v>4.4648000000000005E-3</v>
          </cell>
        </row>
        <row r="22">
          <cell r="C22" t="str">
            <v>BUY - Stamping 1000T West Europ</v>
          </cell>
          <cell r="F22">
            <v>0.08</v>
          </cell>
          <cell r="G22">
            <v>19.22</v>
          </cell>
          <cell r="H22">
            <v>224.78</v>
          </cell>
          <cell r="I22">
            <v>0.2</v>
          </cell>
          <cell r="J22">
            <v>292.8</v>
          </cell>
          <cell r="N22" t="str">
            <v>molding 1,25 stroke/min</v>
          </cell>
          <cell r="P22">
            <v>1.333</v>
          </cell>
          <cell r="AK22" t="str">
            <v>guide channel</v>
          </cell>
          <cell r="AL22">
            <v>10000</v>
          </cell>
          <cell r="AM22" t="str">
            <v>kit mod</v>
          </cell>
          <cell r="AN22">
            <v>22.324000000000002</v>
          </cell>
          <cell r="AO22">
            <v>2.2324000000000003E-3</v>
          </cell>
        </row>
        <row r="23">
          <cell r="C23" t="str">
            <v>BUY - Stamping 1000T West Europ</v>
          </cell>
          <cell r="G23">
            <v>19.22</v>
          </cell>
          <cell r="J23">
            <v>19.22</v>
          </cell>
          <cell r="AK23" t="str">
            <v>drum</v>
          </cell>
          <cell r="AL23">
            <v>8000</v>
          </cell>
          <cell r="AM23" t="str">
            <v>kit mod</v>
          </cell>
          <cell r="AN23">
            <v>22.324000000000002</v>
          </cell>
          <cell r="AO23">
            <v>2.7905E-3</v>
          </cell>
        </row>
        <row r="24">
          <cell r="C24" t="str">
            <v>BUY - Profiling West Europ</v>
          </cell>
          <cell r="F24">
            <v>0.08</v>
          </cell>
          <cell r="G24">
            <v>19.22</v>
          </cell>
          <cell r="H24">
            <v>55</v>
          </cell>
          <cell r="I24">
            <v>0.3</v>
          </cell>
          <cell r="J24">
            <v>96.48599999999999</v>
          </cell>
          <cell r="K24" t="str">
            <v>ASSUMPTION</v>
          </cell>
          <cell r="N24" t="str">
            <v>assy man plate (GMD BDF auto N°2) Opel</v>
          </cell>
          <cell r="P24">
            <v>0.19670000000000001</v>
          </cell>
          <cell r="AK24" t="str">
            <v>Rail assy soudé</v>
          </cell>
          <cell r="AL24">
            <v>500</v>
          </cell>
          <cell r="AM24" t="str">
            <v>kit mod</v>
          </cell>
          <cell r="AN24">
            <v>22.324000000000002</v>
          </cell>
          <cell r="AO24">
            <v>4.4648E-2</v>
          </cell>
        </row>
        <row r="25">
          <cell r="C25" t="str">
            <v>BUY - Stamping 250T Est Europ</v>
          </cell>
          <cell r="F25">
            <v>0.08</v>
          </cell>
          <cell r="G25">
            <v>5.13</v>
          </cell>
          <cell r="H25">
            <v>57.78</v>
          </cell>
          <cell r="I25">
            <v>0.2</v>
          </cell>
          <cell r="J25">
            <v>75.492000000000004</v>
          </cell>
          <cell r="N25" t="str">
            <v>assy man plate (GMD BDF auto N°8) C65/BDJ64</v>
          </cell>
          <cell r="P25">
            <v>0.25</v>
          </cell>
          <cell r="AK25" t="str">
            <v>Motor</v>
          </cell>
          <cell r="AL25">
            <v>160</v>
          </cell>
          <cell r="AM25" t="str">
            <v>kit mod</v>
          </cell>
          <cell r="AN25">
            <v>22.324000000000002</v>
          </cell>
          <cell r="AO25">
            <v>0.13952500000000001</v>
          </cell>
        </row>
        <row r="26">
          <cell r="C26" t="str">
            <v>BUY - Stamping 400T Est Europ</v>
          </cell>
          <cell r="F26">
            <v>0.08</v>
          </cell>
          <cell r="G26">
            <v>5.13</v>
          </cell>
          <cell r="H26">
            <v>133.28</v>
          </cell>
          <cell r="I26">
            <v>0.2</v>
          </cell>
          <cell r="J26">
            <v>166.09199999999998</v>
          </cell>
          <cell r="AK26" t="str">
            <v>man plate assy</v>
          </cell>
          <cell r="AL26">
            <v>400</v>
          </cell>
          <cell r="AM26" t="str">
            <v>kit mod</v>
          </cell>
          <cell r="AN26">
            <v>22.324000000000002</v>
          </cell>
          <cell r="AO26">
            <v>5.5810000000000005E-2</v>
          </cell>
        </row>
        <row r="27">
          <cell r="C27" t="str">
            <v>BUY - Stamping 600T Est Europ</v>
          </cell>
          <cell r="F27">
            <v>0.08</v>
          </cell>
          <cell r="G27">
            <v>5.13</v>
          </cell>
          <cell r="H27">
            <v>163.78</v>
          </cell>
          <cell r="I27">
            <v>0.2</v>
          </cell>
          <cell r="J27">
            <v>202.69200000000001</v>
          </cell>
          <cell r="N27" t="str">
            <v>assy man plate (halfly auto)</v>
          </cell>
          <cell r="P27">
            <v>0.74</v>
          </cell>
          <cell r="AK27" t="str">
            <v>Screws/Slider/pivot</v>
          </cell>
          <cell r="AL27">
            <v>1000000</v>
          </cell>
          <cell r="AM27" t="str">
            <v>kit mod</v>
          </cell>
          <cell r="AN27">
            <v>22.324000000000002</v>
          </cell>
          <cell r="AO27">
            <v>2.2324000000000002E-5</v>
          </cell>
        </row>
        <row r="28">
          <cell r="C28" t="str">
            <v>BUY - Stamping 1000T Est Europ</v>
          </cell>
          <cell r="F28">
            <v>0.08</v>
          </cell>
          <cell r="G28">
            <v>5.13</v>
          </cell>
          <cell r="H28">
            <v>224.78</v>
          </cell>
          <cell r="I28">
            <v>0.2</v>
          </cell>
          <cell r="J28">
            <v>275.892</v>
          </cell>
          <cell r="AK28" t="str">
            <v>Wire Harness</v>
          </cell>
          <cell r="AL28">
            <v>800</v>
          </cell>
          <cell r="AM28" t="str">
            <v>kit mod</v>
          </cell>
          <cell r="AN28">
            <v>22.324000000000002</v>
          </cell>
          <cell r="AO28">
            <v>2.7905000000000003E-2</v>
          </cell>
        </row>
        <row r="29">
          <cell r="C29" t="str">
            <v>BUY - Profiling Est Europ</v>
          </cell>
          <cell r="F29">
            <v>0.08</v>
          </cell>
          <cell r="G29">
            <v>5.13</v>
          </cell>
          <cell r="H29">
            <v>55</v>
          </cell>
          <cell r="I29">
            <v>0.3</v>
          </cell>
          <cell r="J29">
            <v>78.169000000000011</v>
          </cell>
          <cell r="K29" t="str">
            <v>ASSUMPTION</v>
          </cell>
          <cell r="N29" t="str">
            <v>final assy</v>
          </cell>
          <cell r="AM29" t="str">
            <v>kit mod</v>
          </cell>
          <cell r="AN29">
            <v>22.324000000000002</v>
          </cell>
          <cell r="AO29" t="e">
            <v>#DIV/0!</v>
          </cell>
        </row>
        <row r="30">
          <cell r="N30" t="str">
            <v xml:space="preserve">VRP1 - Bjo cable assy </v>
          </cell>
          <cell r="P30">
            <v>0.2</v>
          </cell>
          <cell r="AM30" t="str">
            <v>kit mod</v>
          </cell>
          <cell r="AN30">
            <v>22.324000000000002</v>
          </cell>
          <cell r="AO30" t="e">
            <v>#DIV/0!</v>
          </cell>
        </row>
        <row r="31">
          <cell r="C31" t="str">
            <v>ARM - Australia</v>
          </cell>
          <cell r="G31">
            <v>13</v>
          </cell>
          <cell r="H31">
            <v>38</v>
          </cell>
          <cell r="J31">
            <v>51</v>
          </cell>
          <cell r="N31" t="str">
            <v>VRP1 - Bjo cable assy with 1 spring</v>
          </cell>
          <cell r="P31">
            <v>0.7</v>
          </cell>
          <cell r="AM31" t="str">
            <v>kit mod</v>
          </cell>
          <cell r="AN31">
            <v>22.324000000000002</v>
          </cell>
          <cell r="AO31" t="e">
            <v>#DIV/0!</v>
          </cell>
        </row>
        <row r="32">
          <cell r="C32" t="str">
            <v>ARM - Birmingham</v>
          </cell>
          <cell r="G32">
            <v>15.49</v>
          </cell>
          <cell r="H32">
            <v>52.76</v>
          </cell>
          <cell r="J32">
            <v>68.25</v>
          </cell>
          <cell r="N32" t="str">
            <v>Bowden cable assy + 2 plastic parts (type X74)</v>
          </cell>
          <cell r="P32">
            <v>1.1299999999999999</v>
          </cell>
          <cell r="AM32" t="str">
            <v>kit mod</v>
          </cell>
          <cell r="AN32">
            <v>22.324000000000002</v>
          </cell>
          <cell r="AO32" t="e">
            <v>#DIV/0!</v>
          </cell>
        </row>
        <row r="33">
          <cell r="C33" t="str">
            <v>ARM - Brussels</v>
          </cell>
          <cell r="G33">
            <v>0</v>
          </cell>
          <cell r="H33">
            <v>0</v>
          </cell>
          <cell r="J33">
            <v>0</v>
          </cell>
          <cell r="N33" t="str">
            <v>Bowden cable assy + 1 plastic part (type X74)</v>
          </cell>
          <cell r="P33">
            <v>1</v>
          </cell>
          <cell r="AM33" t="str">
            <v>kit mod</v>
          </cell>
          <cell r="AN33">
            <v>22.324000000000002</v>
          </cell>
          <cell r="AO33" t="e">
            <v>#DIV/0!</v>
          </cell>
        </row>
        <row r="34">
          <cell r="C34" t="str">
            <v>ARM - Valladolid (Spain)</v>
          </cell>
          <cell r="G34">
            <v>9.7899999999999991</v>
          </cell>
          <cell r="H34">
            <v>45.33</v>
          </cell>
          <cell r="J34">
            <v>55.12</v>
          </cell>
          <cell r="K34" t="str">
            <v>FY2005</v>
          </cell>
          <cell r="N34" t="str">
            <v>Bowden cable assy without plastic part (type X74)</v>
          </cell>
          <cell r="P34">
            <v>0.92</v>
          </cell>
          <cell r="AM34" t="str">
            <v>kit mod</v>
          </cell>
          <cell r="AN34">
            <v>22.324000000000002</v>
          </cell>
          <cell r="AO34" t="e">
            <v>#DIV/0!</v>
          </cell>
        </row>
        <row r="35">
          <cell r="C35" t="str">
            <v>ARM - Abrera (Spain)</v>
          </cell>
          <cell r="G35">
            <v>14.52</v>
          </cell>
          <cell r="H35">
            <v>45.33</v>
          </cell>
          <cell r="J35">
            <v>59.849999999999994</v>
          </cell>
          <cell r="K35" t="str">
            <v>FY2005</v>
          </cell>
          <cell r="N35" t="str">
            <v xml:space="preserve">VRP2 - Bjo cable assy </v>
          </cell>
          <cell r="P35">
            <v>0.5</v>
          </cell>
        </row>
        <row r="36">
          <cell r="C36" t="str">
            <v>ARM - Esson Rot</v>
          </cell>
          <cell r="G36">
            <v>16.24362572546676</v>
          </cell>
          <cell r="H36">
            <v>37.600147570648687</v>
          </cell>
          <cell r="J36">
            <v>53.843773296115444</v>
          </cell>
          <cell r="AM36" t="str">
            <v>kit mod</v>
          </cell>
          <cell r="AN36">
            <v>22.324000000000002</v>
          </cell>
          <cell r="AO36" t="e">
            <v>#DIV/0!</v>
          </cell>
        </row>
        <row r="37">
          <cell r="C37" t="str">
            <v>ARM - Gifhorn</v>
          </cell>
          <cell r="G37">
            <v>20.010427512779042</v>
          </cell>
          <cell r="H37">
            <v>53.391304612954812</v>
          </cell>
          <cell r="J37">
            <v>73.401732125733858</v>
          </cell>
          <cell r="AM37" t="str">
            <v>kit mod</v>
          </cell>
          <cell r="AN37">
            <v>22.324000000000002</v>
          </cell>
          <cell r="AO37" t="e">
            <v>#DIV/0!</v>
          </cell>
        </row>
        <row r="38">
          <cell r="C38" t="str">
            <v>North Portugal</v>
          </cell>
          <cell r="G38">
            <v>8</v>
          </cell>
          <cell r="H38">
            <v>15</v>
          </cell>
          <cell r="J38">
            <v>23</v>
          </cell>
          <cell r="AM38" t="str">
            <v>kit mod</v>
          </cell>
          <cell r="AN38">
            <v>22.324000000000002</v>
          </cell>
          <cell r="AO38" t="e">
            <v>#DIV/0!</v>
          </cell>
        </row>
        <row r="39">
          <cell r="C39" t="str">
            <v>ARM - Marion (USA)</v>
          </cell>
          <cell r="D39">
            <v>3</v>
          </cell>
          <cell r="E39">
            <v>240</v>
          </cell>
          <cell r="G39">
            <v>11.987496000955916</v>
          </cell>
          <cell r="H39">
            <v>16.975219417430822</v>
          </cell>
          <cell r="J39">
            <v>28.962715418386736</v>
          </cell>
          <cell r="AM39" t="str">
            <v>kit mod</v>
          </cell>
          <cell r="AN39">
            <v>22.324000000000002</v>
          </cell>
          <cell r="AO39" t="e">
            <v>#DIV/0!</v>
          </cell>
        </row>
        <row r="40">
          <cell r="C40" t="str">
            <v>ARM - Iroshima</v>
          </cell>
          <cell r="G40">
            <v>22.8</v>
          </cell>
          <cell r="H40">
            <v>42</v>
          </cell>
          <cell r="J40">
            <v>64.8</v>
          </cell>
          <cell r="AM40" t="str">
            <v>kit mod</v>
          </cell>
          <cell r="AN40">
            <v>22.324000000000002</v>
          </cell>
          <cell r="AO40" t="e">
            <v>#DIV/0!</v>
          </cell>
        </row>
        <row r="41">
          <cell r="C41" t="str">
            <v>ARM - Liberec - Wind. Regs</v>
          </cell>
          <cell r="D41">
            <v>3</v>
          </cell>
          <cell r="E41">
            <v>240</v>
          </cell>
          <cell r="G41">
            <v>5.371218487394958</v>
          </cell>
          <cell r="H41">
            <v>14.623394957983194</v>
          </cell>
          <cell r="J41">
            <v>19.994613445378153</v>
          </cell>
          <cell r="K41" t="str">
            <v>FY2005</v>
          </cell>
          <cell r="AM41" t="str">
            <v>kit mod</v>
          </cell>
          <cell r="AN41">
            <v>22.324000000000002</v>
          </cell>
          <cell r="AO41" t="e">
            <v>#DIV/0!</v>
          </cell>
        </row>
        <row r="42">
          <cell r="C42" t="str">
            <v>ARM - Liberec cables</v>
          </cell>
          <cell r="D42">
            <v>3</v>
          </cell>
          <cell r="E42">
            <v>240</v>
          </cell>
          <cell r="F42">
            <v>2.9000000000000001E-2</v>
          </cell>
          <cell r="G42">
            <v>5.4480000000000004</v>
          </cell>
          <cell r="H42">
            <v>9.7889999999999997</v>
          </cell>
          <cell r="J42">
            <v>15.237</v>
          </cell>
          <cell r="K42" t="str">
            <v>FY2005</v>
          </cell>
          <cell r="N42" t="str">
            <v>assy of 1 pulley</v>
          </cell>
          <cell r="P42">
            <v>0.25</v>
          </cell>
          <cell r="AM42" t="str">
            <v>kit mod</v>
          </cell>
          <cell r="AN42">
            <v>22.324000000000002</v>
          </cell>
          <cell r="AO42" t="e">
            <v>#DIV/0!</v>
          </cell>
        </row>
        <row r="43">
          <cell r="C43" t="str">
            <v>ARM - Liberec SK240</v>
          </cell>
          <cell r="G43">
            <v>3.2917096699936126</v>
          </cell>
          <cell r="H43">
            <v>16.944952184365743</v>
          </cell>
          <cell r="J43">
            <v>20.236661854359355</v>
          </cell>
          <cell r="N43" t="str">
            <v>assy of 2 pullies</v>
          </cell>
          <cell r="P43">
            <v>0.5</v>
          </cell>
        </row>
        <row r="44">
          <cell r="C44" t="str">
            <v>ARM - Limeira (Brazil)</v>
          </cell>
          <cell r="E44">
            <v>240</v>
          </cell>
          <cell r="G44">
            <v>4.1287767338407848</v>
          </cell>
          <cell r="H44">
            <v>24.218386266172935</v>
          </cell>
          <cell r="J44">
            <v>28.347163000013719</v>
          </cell>
        </row>
        <row r="45">
          <cell r="C45" t="str">
            <v>ARM - Barcelona</v>
          </cell>
          <cell r="E45">
            <v>235</v>
          </cell>
          <cell r="G45">
            <v>11.730250610939436</v>
          </cell>
          <cell r="H45">
            <v>50.540751909042818</v>
          </cell>
          <cell r="J45">
            <v>62.271002519982254</v>
          </cell>
        </row>
        <row r="46">
          <cell r="C46" t="str">
            <v>ARM - Puebla</v>
          </cell>
          <cell r="E46">
            <v>276</v>
          </cell>
          <cell r="G46">
            <v>3.4</v>
          </cell>
          <cell r="H46">
            <v>21.22</v>
          </cell>
          <cell r="J46">
            <v>24.619999999999997</v>
          </cell>
        </row>
        <row r="47">
          <cell r="C47" t="str">
            <v>ARM - Queretaro</v>
          </cell>
          <cell r="E47">
            <v>276</v>
          </cell>
          <cell r="G47">
            <v>4.41</v>
          </cell>
          <cell r="H47">
            <v>21.96</v>
          </cell>
          <cell r="J47">
            <v>26.37</v>
          </cell>
        </row>
        <row r="48">
          <cell r="C48" t="str">
            <v>ARM - Sully</v>
          </cell>
          <cell r="D48">
            <v>3</v>
          </cell>
          <cell r="E48">
            <v>220</v>
          </cell>
          <cell r="G48">
            <v>19.54</v>
          </cell>
          <cell r="H48">
            <v>30.55</v>
          </cell>
          <cell r="J48">
            <v>50.09</v>
          </cell>
          <cell r="K48" t="str">
            <v>FY2005</v>
          </cell>
        </row>
        <row r="49">
          <cell r="C49" t="str">
            <v>ARM - Santa Maria (Barcelona)</v>
          </cell>
          <cell r="G49">
            <v>12.66</v>
          </cell>
          <cell r="H49">
            <v>19.760000000000002</v>
          </cell>
          <cell r="J49">
            <v>32.42</v>
          </cell>
          <cell r="K49" t="str">
            <v>FY2005</v>
          </cell>
        </row>
        <row r="50">
          <cell r="C50" t="str">
            <v>ARM - Zhenjiang (China)</v>
          </cell>
          <cell r="G50">
            <v>1.1340000000000001</v>
          </cell>
          <cell r="H50">
            <v>3.9690000000000003</v>
          </cell>
          <cell r="J50">
            <v>5.1030000000000006</v>
          </cell>
        </row>
        <row r="52">
          <cell r="C52" t="str">
            <v>BUY - Plastic Molding 35T</v>
          </cell>
          <cell r="F52">
            <v>0.05</v>
          </cell>
          <cell r="G52">
            <v>18.04</v>
          </cell>
          <cell r="H52">
            <v>0</v>
          </cell>
          <cell r="I52">
            <v>2.5999999999999999E-2</v>
          </cell>
          <cell r="J52">
            <v>18.509039999999999</v>
          </cell>
          <cell r="K52" t="str">
            <v>Plasticos M Barcelona - 2003
curseur C85</v>
          </cell>
        </row>
        <row r="53">
          <cell r="C53" t="str">
            <v>BUY - Plastic Molding 50T</v>
          </cell>
          <cell r="F53">
            <v>0.05</v>
          </cell>
          <cell r="G53">
            <v>19.84</v>
          </cell>
          <cell r="H53">
            <v>0</v>
          </cell>
          <cell r="I53">
            <v>2.5999999999999999E-2</v>
          </cell>
          <cell r="J53">
            <v>20.355840000000001</v>
          </cell>
          <cell r="K53" t="str">
            <v>Plasticos M Barcelona - 2003
curseur C85</v>
          </cell>
        </row>
        <row r="54">
          <cell r="C54" t="str">
            <v>BUY - Plastic Molding 60T</v>
          </cell>
          <cell r="G54">
            <v>22.11</v>
          </cell>
          <cell r="H54">
            <v>0</v>
          </cell>
          <cell r="J54">
            <v>22.11</v>
          </cell>
          <cell r="K54" t="str">
            <v>Boulay - 2003</v>
          </cell>
        </row>
        <row r="55">
          <cell r="C55" t="str">
            <v>BUY - Plastic Molding 100T</v>
          </cell>
          <cell r="G55">
            <v>20.9</v>
          </cell>
          <cell r="H55">
            <v>0</v>
          </cell>
          <cell r="J55">
            <v>20.9</v>
          </cell>
          <cell r="K55" t="str">
            <v>Boulay - 2004</v>
          </cell>
        </row>
        <row r="56">
          <cell r="C56" t="str">
            <v>BUY - Plastic Molding 175T</v>
          </cell>
          <cell r="G56">
            <v>27</v>
          </cell>
          <cell r="H56">
            <v>0</v>
          </cell>
          <cell r="J56">
            <v>27</v>
          </cell>
          <cell r="K56" t="str">
            <v>Boulay - 2004</v>
          </cell>
        </row>
        <row r="57">
          <cell r="C57" t="str">
            <v>BUY - Plastic Molding 200T</v>
          </cell>
          <cell r="G57">
            <v>31.86</v>
          </cell>
          <cell r="H57">
            <v>0</v>
          </cell>
          <cell r="J57">
            <v>31.86</v>
          </cell>
          <cell r="K57" t="str">
            <v>Boulay - 2003</v>
          </cell>
        </row>
        <row r="58">
          <cell r="C58" t="str">
            <v>BUY - Plastic Molding 250T</v>
          </cell>
          <cell r="F58">
            <v>0.05</v>
          </cell>
          <cell r="G58">
            <v>36.65</v>
          </cell>
          <cell r="H58">
            <v>0</v>
          </cell>
          <cell r="J58">
            <v>36.65</v>
          </cell>
          <cell r="K58" t="str">
            <v>Boulay - 2004</v>
          </cell>
        </row>
        <row r="59">
          <cell r="C59" t="str">
            <v>BUY - Plastic Molding 300T</v>
          </cell>
          <cell r="G59">
            <v>0</v>
          </cell>
          <cell r="H59">
            <v>0</v>
          </cell>
          <cell r="J59">
            <v>0</v>
          </cell>
        </row>
        <row r="60">
          <cell r="C60" t="str">
            <v>BUY - Plastic Molding 350T</v>
          </cell>
          <cell r="G60">
            <v>0</v>
          </cell>
          <cell r="H60">
            <v>0</v>
          </cell>
          <cell r="J60">
            <v>0</v>
          </cell>
        </row>
        <row r="61">
          <cell r="C61" t="str">
            <v>BUY - Plastic Molding 400T</v>
          </cell>
          <cell r="G61">
            <v>0</v>
          </cell>
          <cell r="H61">
            <v>0</v>
          </cell>
          <cell r="J61">
            <v>0</v>
          </cell>
        </row>
        <row r="62">
          <cell r="C62" t="str">
            <v>BUY - Plastic Molding 500T</v>
          </cell>
          <cell r="G62">
            <v>50</v>
          </cell>
          <cell r="H62">
            <v>0</v>
          </cell>
          <cell r="J62">
            <v>50</v>
          </cell>
        </row>
        <row r="64">
          <cell r="C64" t="str">
            <v>auto assy man plate (GMD N°2) Opel</v>
          </cell>
          <cell r="F64">
            <v>0.08</v>
          </cell>
          <cell r="G64">
            <v>48.457444619083269</v>
          </cell>
          <cell r="J64">
            <v>48.457444619083269</v>
          </cell>
        </row>
        <row r="65">
          <cell r="C65" t="str">
            <v>auto assy man plate (GMD N°7) Vectra/T1/Range</v>
          </cell>
          <cell r="F65">
            <v>0.08</v>
          </cell>
          <cell r="G65">
            <v>48.457444619083269</v>
          </cell>
          <cell r="J65">
            <v>48.457444619083269</v>
          </cell>
        </row>
        <row r="66">
          <cell r="C66" t="str">
            <v>auto assy man plate (GMD N°8) C65/BDJ64</v>
          </cell>
          <cell r="F66">
            <v>0.08</v>
          </cell>
          <cell r="G66">
            <v>48.457444619083269</v>
          </cell>
          <cell r="J66">
            <v>48.457444619083269</v>
          </cell>
        </row>
        <row r="67">
          <cell r="C67" t="str">
            <v>auto assy man plate (GMD N°3) Rover</v>
          </cell>
          <cell r="F67">
            <v>0.08</v>
          </cell>
          <cell r="G67">
            <v>48.457444619083269</v>
          </cell>
          <cell r="J67">
            <v>48.457444619083269</v>
          </cell>
        </row>
        <row r="68">
          <cell r="C68" t="str">
            <v>halfly auto man plate assy</v>
          </cell>
          <cell r="F68">
            <v>0.08</v>
          </cell>
          <cell r="G68">
            <v>31</v>
          </cell>
          <cell r="I68">
            <v>0.2</v>
          </cell>
          <cell r="J68">
            <v>37.200000000000003</v>
          </cell>
        </row>
        <row r="69">
          <cell r="C69" t="str">
            <v>Taraudage sur BSI</v>
          </cell>
          <cell r="G69">
            <v>48.457444619083269</v>
          </cell>
          <cell r="H69">
            <v>0</v>
          </cell>
          <cell r="J69">
            <v>48.457444619083269</v>
          </cell>
        </row>
        <row r="70">
          <cell r="G70">
            <v>0</v>
          </cell>
          <cell r="H70">
            <v>0</v>
          </cell>
          <cell r="J70">
            <v>0</v>
          </cell>
        </row>
        <row r="71">
          <cell r="G71">
            <v>0</v>
          </cell>
          <cell r="H71">
            <v>0</v>
          </cell>
          <cell r="J71">
            <v>0</v>
          </cell>
        </row>
        <row r="72">
          <cell r="G72">
            <v>0</v>
          </cell>
          <cell r="H72">
            <v>0</v>
          </cell>
          <cell r="J72">
            <v>0</v>
          </cell>
        </row>
        <row r="73">
          <cell r="G73">
            <v>0</v>
          </cell>
          <cell r="H73">
            <v>0</v>
          </cell>
          <cell r="J73">
            <v>0</v>
          </cell>
        </row>
        <row r="74">
          <cell r="G74">
            <v>0</v>
          </cell>
          <cell r="H74">
            <v>0</v>
          </cell>
          <cell r="J74">
            <v>0</v>
          </cell>
        </row>
        <row r="75">
          <cell r="G75">
            <v>0</v>
          </cell>
          <cell r="H75">
            <v>0</v>
          </cell>
          <cell r="J75">
            <v>0</v>
          </cell>
        </row>
        <row r="77">
          <cell r="C77" t="str">
            <v>Turquie</v>
          </cell>
          <cell r="J77">
            <v>13.91</v>
          </cell>
          <cell r="K77" t="str">
            <v>reste à confirmer</v>
          </cell>
        </row>
        <row r="78">
          <cell r="C78" t="str">
            <v>Thaïlande</v>
          </cell>
          <cell r="G78">
            <v>1</v>
          </cell>
          <cell r="H78">
            <v>9</v>
          </cell>
          <cell r="J78">
            <v>10</v>
          </cell>
          <cell r="K78" t="str">
            <v>reste à confirmer</v>
          </cell>
        </row>
      </sheetData>
      <sheetData sheetId="20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SI_PF Reg"/>
      <sheetName val="ESIC Form 6"/>
      <sheetName val="C214"/>
      <sheetName val="V188 First Launch"/>
      <sheetName val="parameter"/>
      <sheetName val="Prix HA"/>
      <sheetName val="INPUT"/>
      <sheetName val="계산정보"/>
      <sheetName val="W.REG QTR"/>
      <sheetName val="wip-Dec."/>
      <sheetName val="Degreasing"/>
      <sheetName val="Primer"/>
      <sheetName val="Sandblasting"/>
      <sheetName val="商品力向上"/>
      <sheetName val="Deckblatt"/>
      <sheetName val="TR_SAL.XLS"/>
      <sheetName val="TR_SAL"/>
      <sheetName val="dIRECT LAB"/>
      <sheetName val="LKW"/>
      <sheetName val="FAM"/>
      <sheetName val="old system"/>
      <sheetName val="RAH"/>
      <sheetName val="RAJ"/>
      <sheetName val="sant"/>
      <sheetName val="USP"/>
      <sheetName val="Sheet1 (2)"/>
      <sheetName val="ZBD"/>
      <sheetName val="Scorpio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7"/>
    </sheetNames>
    <sheetDataSet>
      <sheetData sheetId="0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005"/>
      <sheetName val="4007"/>
      <sheetName val="4011"/>
      <sheetName val="4012"/>
      <sheetName val="4015"/>
      <sheetName val="4017"/>
      <sheetName val="Capital 2004"/>
      <sheetName val="Capital Plan 2003"/>
      <sheetName val="Volumen AOP 2004"/>
      <sheetName val="Europei"/>
      <sheetName val="Giapponesi in Asia"/>
      <sheetName val="Giapponesi in Europa"/>
      <sheetName val="Giapponesi in Europa NS"/>
      <sheetName val="parameter"/>
      <sheetName val="Prix HA"/>
      <sheetName val="KEYISS"/>
      <sheetName val="F7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VS Assumption Sheet"/>
      <sheetName val="Data"/>
      <sheetName val="G.M.I.M."/>
      <sheetName val="K1"/>
      <sheetName val="K2"/>
      <sheetName val="K3"/>
      <sheetName val="Cost"/>
      <sheetName val="Tools"/>
      <sheetName val="Financials"/>
      <sheetName val="Depreciation"/>
      <sheetName val="Economic Data"/>
      <sheetName val="Burden"/>
      <sheetName val="Zhenjiang"/>
      <sheetName val="Summary"/>
      <sheetName val="Orion FD std"/>
      <sheetName val="Orion FD PIA"/>
      <sheetName val="Orion RD elec"/>
      <sheetName val="Orion RD PIA"/>
      <sheetName val="Orion RD ma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cstatement"/>
      <sheetName val="Burden exp"/>
    </sheetNames>
    <sheetDataSet>
      <sheetData sheetId="0"/>
      <sheetData sheetId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USAL"/>
      <sheetName val="AOP FY 99"/>
      <sheetName val="FST 1"/>
      <sheetName val="ACTUAL"/>
      <sheetName val="FY 1998"/>
      <sheetName val="Tabelle5"/>
      <sheetName val="Tabelle6"/>
      <sheetName val="Tabelle7"/>
      <sheetName val="Tabelle8"/>
      <sheetName val="Tabelle9"/>
      <sheetName val="Tabelle10"/>
      <sheetName val="Tabelle11"/>
      <sheetName val="Tabelle12"/>
      <sheetName val="Tabelle13"/>
      <sheetName val="Tabelle14"/>
      <sheetName val="Tabelle15"/>
      <sheetName val="Tabelle16"/>
      <sheetName val="Burden exp"/>
      <sheetName val="DIRECT"/>
      <sheetName val="Product Cost Summary"/>
      <sheetName val="TC-Basis"/>
      <sheetName val="AOP Exec Summary"/>
      <sheetName val="Groups-Names"/>
      <sheetName val="NEUV+M"/>
      <sheetName val="Volumen AOP 2004"/>
      <sheetName val="Cost Summary - Torsten"/>
      <sheetName val="AOP_FY_99"/>
      <sheetName val="FST_1"/>
      <sheetName val="FY_1998"/>
      <sheetName val="Burden_exp"/>
      <sheetName val="Product_Cost_Summary"/>
      <sheetName val="AOP_Exec_Summary"/>
      <sheetName val="Volumen_AOP_2004"/>
      <sheetName val="Cost_Summary_-_Torsten"/>
    </sheetNames>
    <sheetDataSet>
      <sheetData sheetId="0" refreshError="1"/>
      <sheetData sheetId="1" refreshError="1">
        <row r="8">
          <cell r="AN8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8">
          <cell r="AN8">
            <v>1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OP INPUT - local currency"/>
      <sheetName val="AOP - USD"/>
      <sheetName val="AOP - Hyp UPLOAD"/>
      <sheetName val="Headcount - Perm"/>
      <sheetName val="Headcount - Temp"/>
      <sheetName val="Other Proffesional fee"/>
      <sheetName val="Other Purchased Service"/>
      <sheetName val="Expenses From"/>
      <sheetName val="Expenses To"/>
      <sheetName val="Direct Chg to"/>
      <sheetName val="Capital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 Ratings"/>
      <sheetName val="Summary"/>
      <sheetName val="Spread"/>
      <sheetName val="Yield Curve"/>
      <sheetName val="Data"/>
      <sheetName val="Chart"/>
      <sheetName val="Backup"/>
      <sheetName val="Yield and Rating"/>
      <sheetName val="Country Credit Rating"/>
      <sheetName val="Infl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con96-97"/>
      <sheetName val="A1 ESI_Mar97"/>
      <sheetName val="ABEL_Sep_97 ESI "/>
      <sheetName val="96totcstsum"/>
      <sheetName val="Credit Ratings"/>
      <sheetName val="CD3XX"/>
      <sheetName val="626TD(COLOR)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20 FF"/>
      <sheetName val="r******"/>
    </sheetNames>
    <sheetDataSet>
      <sheetData sheetId="0" refreshError="1"/>
      <sheetData sheetId="1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NITS"/>
      <sheetName val="99er Standard"/>
      <sheetName val="SBP 99er"/>
      <sheetName val="Units SBP"/>
      <sheetName val="Tabelle1"/>
      <sheetName val="MPV"/>
      <sheetName val="LABOR"/>
      <sheetName val="1020"/>
      <sheetName val="1020 SBP"/>
      <sheetName val="1060"/>
      <sheetName val="1060 SBP"/>
      <sheetName val="sal&amp;wag"/>
      <sheetName val="SCRAP"/>
      <sheetName val="DIRECT"/>
      <sheetName val="NAE"/>
      <sheetName val="Tooling"/>
      <sheetName val="Performance Metrics"/>
      <sheetName val="HYPERION"/>
      <sheetName val="MERAOP"/>
      <sheetName val="INCOMEST"/>
      <sheetName val="INTRFCST"/>
      <sheetName val="NAEST"/>
      <sheetName val="STATS"/>
      <sheetName val="Modul1"/>
      <sheetName val="Process Flow Chart"/>
      <sheetName val="Credit Ratings"/>
      <sheetName val="Volumen AOP 2004"/>
      <sheetName val="LOAD HOURS"/>
      <sheetName val="1020 FF"/>
      <sheetName val="AOP FY 99"/>
      <sheetName val="Recon96-97"/>
      <sheetName val="A1 ESI_Mar97"/>
      <sheetName val="PDP"/>
      <sheetName val="Quarterly"/>
      <sheetName val="#REF"/>
      <sheetName val="components toolings"/>
      <sheetName val="W.REG QTR"/>
      <sheetName val="Sheet2"/>
      <sheetName val="99er_Standard"/>
      <sheetName val="SBP_99er"/>
      <sheetName val="Units_SBP"/>
      <sheetName val="1020_SBP"/>
      <sheetName val="1060_SBP"/>
      <sheetName val="Performance_Metrics"/>
      <sheetName val="Process_Flow_Chart"/>
      <sheetName val="Credit_Ratings"/>
      <sheetName val="Volumen_AOP_2004"/>
      <sheetName val="1020_FF"/>
      <sheetName val="LOAD_HOURS"/>
      <sheetName val="AOP_FY_99"/>
      <sheetName val="A1_ESI_Mar97"/>
      <sheetName val="components_toolings"/>
      <sheetName val="W_REG_QT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"/>
      <sheetName val="CTS"/>
      <sheetName val="Hyperlink"/>
      <sheetName val="EXPORT"/>
      <sheetName val="MFGPRO"/>
      <sheetName val="TB"/>
      <sheetName val="BS"/>
      <sheetName val="INCOME"/>
      <sheetName val="QUICKIE"/>
      <sheetName val="PP&amp;E"/>
      <sheetName val="STATSUM"/>
      <sheetName val="TAX"/>
      <sheetName val="taxsum"/>
      <sheetName val="aged"/>
      <sheetName val="AGED (2)"/>
      <sheetName val="Module2"/>
      <sheetName val="Module3"/>
      <sheetName val="Module4"/>
      <sheetName val="Module5"/>
      <sheetName val="Module6"/>
      <sheetName val="Module7"/>
      <sheetName val="Module8"/>
      <sheetName val="Module9"/>
      <sheetName val="Module1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9">
          <cell r="C9">
            <v>13418193.08</v>
          </cell>
        </row>
        <row r="10">
          <cell r="C10">
            <v>1144296.01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0</v>
          </cell>
        </row>
        <row r="15">
          <cell r="C15">
            <v>-9381001.0999999996</v>
          </cell>
        </row>
        <row r="16">
          <cell r="C16">
            <v>-867052.1</v>
          </cell>
        </row>
        <row r="17">
          <cell r="C17">
            <v>-2101243.4300000002</v>
          </cell>
        </row>
        <row r="18">
          <cell r="C18">
            <v>-12349296.629999999</v>
          </cell>
        </row>
        <row r="19">
          <cell r="C19">
            <v>-722551.81</v>
          </cell>
        </row>
        <row r="20">
          <cell r="C20">
            <v>-60000</v>
          </cell>
        </row>
        <row r="21">
          <cell r="C21">
            <v>0</v>
          </cell>
        </row>
        <row r="22">
          <cell r="C22">
            <v>-403677.45999999996</v>
          </cell>
        </row>
        <row r="23">
          <cell r="C23">
            <v>-138834.25</v>
          </cell>
        </row>
        <row r="24">
          <cell r="C24">
            <v>0</v>
          </cell>
        </row>
        <row r="25">
          <cell r="C25">
            <v>0</v>
          </cell>
        </row>
        <row r="26">
          <cell r="C26">
            <v>-1325063.52</v>
          </cell>
        </row>
        <row r="28">
          <cell r="C28">
            <v>795.78</v>
          </cell>
        </row>
        <row r="29">
          <cell r="C29">
            <v>-127425.38999999998</v>
          </cell>
        </row>
        <row r="30">
          <cell r="C30">
            <v>761499.33000000089</v>
          </cell>
        </row>
        <row r="31">
          <cell r="C31">
            <v>0</v>
          </cell>
        </row>
        <row r="32">
          <cell r="C32">
            <v>-5.6843418860808015E-14</v>
          </cell>
        </row>
        <row r="33">
          <cell r="C33">
            <v>0</v>
          </cell>
        </row>
        <row r="37">
          <cell r="C37">
            <v>-40</v>
          </cell>
        </row>
        <row r="38">
          <cell r="C38">
            <v>32385.54</v>
          </cell>
        </row>
        <row r="39">
          <cell r="C39">
            <v>-62366.559999999998</v>
          </cell>
        </row>
        <row r="40">
          <cell r="C40">
            <v>-1185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51854.77</v>
          </cell>
        </row>
        <row r="44">
          <cell r="C44">
            <v>-188115.09</v>
          </cell>
        </row>
        <row r="45">
          <cell r="C45">
            <v>-21554.05</v>
          </cell>
        </row>
        <row r="46">
          <cell r="C46">
            <v>84130.71</v>
          </cell>
        </row>
        <row r="48">
          <cell r="C48">
            <v>0</v>
          </cell>
        </row>
        <row r="49">
          <cell r="C49">
            <v>0</v>
          </cell>
        </row>
        <row r="52">
          <cell r="C52">
            <v>-337138</v>
          </cell>
        </row>
        <row r="53">
          <cell r="C53">
            <v>2414</v>
          </cell>
        </row>
        <row r="54">
          <cell r="C54">
            <v>-334724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R Tracking Number"/>
      <sheetName val="Executive Summary"/>
      <sheetName val="Assumption Sheet"/>
      <sheetName val="Summary-US$"/>
      <sheetName val="Input-US$"/>
      <sheetName val="Cost Estimate-US$"/>
      <sheetName val="Input-Local Currency"/>
      <sheetName val="Cost Estimate-Local Currency"/>
      <sheetName val="Doors-TBH(EAE) PIA- NEM"/>
      <sheetName val="Doors-TBH(Internship)"/>
      <sheetName val="Doors-Motor customer svc center"/>
      <sheetName val="#RE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O4">
            <v>0.5</v>
          </cell>
        </row>
      </sheetData>
      <sheetData sheetId="10"/>
      <sheetData sheetId="11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tle Page"/>
      <sheetName val="Assumptions"/>
      <sheetName val="AOP Exec Summary"/>
      <sheetName val="Rack-Up"/>
      <sheetName val="FY Quarterly"/>
      <sheetName val="Sales Volume"/>
      <sheetName val="Causal"/>
      <sheetName val="AOP Sales"/>
      <sheetName val="Sales Volume &amp; Mix"/>
      <sheetName val="Production Volume"/>
      <sheetName val="Pricing"/>
      <sheetName val="Steel Summary"/>
      <sheetName val="Mat'l Perf"/>
      <sheetName val="Mat'l Eco"/>
      <sheetName val="Mat'l Tech Change"/>
      <sheetName val="Labor"/>
      <sheetName val="Burden"/>
      <sheetName val="Lab Burd Econ"/>
      <sheetName val="Productivity"/>
      <sheetName val="Restructuring"/>
      <sheetName val="Operating Expense"/>
      <sheetName val="Other"/>
      <sheetName val="HdctSum"/>
      <sheetName val="Sales per Salary Head"/>
      <sheetName val="Asset Mgmt"/>
      <sheetName val="FY Balance Sheet Causal"/>
      <sheetName val="5 Pt Working Capital"/>
      <sheetName val="Wc Graphs"/>
      <sheetName val="Inv Turns by Location"/>
      <sheetName val="Capital Expenditure"/>
      <sheetName val="Capital Programs"/>
      <sheetName val="R&amp;O"/>
      <sheetName val="Qtly Rack-Up"/>
      <sheetName val="Qtr over Qtr Causal"/>
      <sheetName val="Income Statement"/>
      <sheetName val="Balance Sheet"/>
      <sheetName val="Breakeven "/>
      <sheetName val="Back-up Schedules"/>
      <sheetName val="SBP Executive Summary"/>
      <sheetName val="SBP Sales"/>
      <sheetName val="Rec VolumeFY"/>
      <sheetName val="Pay VolumeFY"/>
      <sheetName val="Inv VolumeFY"/>
    </sheetNames>
    <sheetDataSet>
      <sheetData sheetId="0"/>
      <sheetData sheetId="1"/>
      <sheetData sheetId="2">
        <row r="5">
          <cell r="N5" t="str">
            <v>ARM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3"/>
      <sheetName val="K-2"/>
      <sheetName val="K1"/>
      <sheetName val="Summary"/>
      <sheetName val="Cost"/>
      <sheetName val="Cost per plant"/>
      <sheetName val="Tools"/>
      <sheetName val="Financials"/>
      <sheetName val="Depreciation"/>
      <sheetName val="Economic Data"/>
      <sheetName val="BOM"/>
      <sheetName val="Labor"/>
      <sheetName val="Burden"/>
      <sheetName val="Development co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tle Page"/>
      <sheetName val="AOP Exec Summary"/>
      <sheetName val="Plant Summary"/>
      <sheetName val="Module Exec Summary"/>
      <sheetName val="Economic Profit"/>
      <sheetName val="Causal"/>
      <sheetName val="Causal (2)"/>
      <sheetName val="Other"/>
      <sheetName val="Sales Volume"/>
      <sheetName val="Pricing"/>
      <sheetName val="MPV"/>
      <sheetName val="Material Performance"/>
      <sheetName val="Labor &amp; OHD Performance"/>
      <sheetName val="Economics"/>
      <sheetName val="HdctSum"/>
      <sheetName val="Asset Mgmt"/>
      <sheetName val="Capital Expenditure"/>
      <sheetName val="Working Capital Analysis"/>
      <sheetName val="Working Capital"/>
      <sheetName val="R&amp;O"/>
      <sheetName val="SBP Executive Summary"/>
      <sheetName val="SBP Sales"/>
      <sheetName val="Breakeven "/>
      <sheetName val="Sales per Salary Head"/>
      <sheetName val="SBP Executive Summary (2)"/>
    </sheetNames>
    <sheetDataSet>
      <sheetData sheetId="0" refreshError="1"/>
      <sheetData sheetId="1" refreshError="1">
        <row r="5">
          <cell r="N5" t="str">
            <v>ARM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*******"/>
      <sheetName val="0000000"/>
      <sheetName val="1000000"/>
      <sheetName val="2000000"/>
      <sheetName val="CAUSAL"/>
      <sheetName val="1020"/>
      <sheetName val="1060"/>
      <sheetName val="Troy"/>
      <sheetName val="Audito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7">
          <cell r="B7" t="str">
            <v>FY 02    (1st Qtr)</v>
          </cell>
          <cell r="G7" t="str">
            <v>FY03 (1st Qtr Act)</v>
          </cell>
        </row>
      </sheetData>
      <sheetData sheetId="6"/>
      <sheetData sheetId="7" refreshError="1"/>
      <sheetData sheetId="8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paramétrage"/>
      <sheetName val="plant structure"/>
      <sheetName val="labour cost"/>
      <sheetName val="JIT"/>
      <sheetName val="investment"/>
      <sheetName val="gages"/>
      <sheetName val="finance data base"/>
      <sheetName val="graph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uote"/>
      <sheetName val="Imposed parts"/>
      <sheetName val="Headcount overview"/>
      <sheetName val="Volume Variants"/>
      <sheetName val="Container"/>
      <sheetName val="Tabelle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IDE"/>
      <sheetName val="Parameter"/>
      <sheetName val="Home Page"/>
      <sheetName val="Project Scope"/>
      <sheetName val="Summary"/>
      <sheetName val="Synthétic cost "/>
      <sheetName val="Bill of Material"/>
      <sheetName val="Libre"/>
      <sheetName val="report.bas"/>
      <sheetName val="AutoOp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3"/>
      <sheetName val="K-2"/>
      <sheetName val="K1"/>
      <sheetName val="Summary Como"/>
      <sheetName val="Cost Como"/>
      <sheetName val="Financials Como"/>
      <sheetName val="Summary Sully"/>
      <sheetName val="Cost Sully"/>
      <sheetName val="Financials Sull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(2)"/>
      <sheetName val="CALCUL (2)"/>
      <sheetName val="Suivi Chiffrage"/>
      <sheetName val="Summary"/>
      <sheetName val="Estimation"/>
      <sheetName val="Manufact."/>
      <sheetName val="Taux prod"/>
      <sheetName val="TauxDMS"/>
      <sheetName val="CALCU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1">
          <cell r="E1" t="str">
            <v xml:space="preserve">zone de production : </v>
          </cell>
        </row>
        <row r="2">
          <cell r="E2" t="str">
            <v>France</v>
          </cell>
        </row>
        <row r="3">
          <cell r="E3" t="str">
            <v>Est</v>
          </cell>
        </row>
        <row r="4">
          <cell r="E4" t="str">
            <v>Chine</v>
          </cell>
        </row>
        <row r="22">
          <cell r="A22" t="str">
            <v>Didier PEDEMAS</v>
          </cell>
        </row>
        <row r="23">
          <cell r="A23" t="str">
            <v>Xavier BOULESTEIX</v>
          </cell>
        </row>
        <row r="24">
          <cell r="A24" t="str">
            <v>François BAUDE</v>
          </cell>
        </row>
        <row r="25">
          <cell r="A25" t="str">
            <v>Laurent ROBIN</v>
          </cell>
        </row>
      </sheetData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PAP Info"/>
      <sheetName val="CHKLST"/>
      <sheetName val="PSW"/>
      <sheetName val="PFD"/>
      <sheetName val="PFMEA"/>
      <sheetName val="CP-CPK"/>
      <sheetName val="GRR-Var (2)"/>
      <sheetName val="GRR-Var"/>
      <sheetName val="GRR-Att (2)"/>
      <sheetName val="GRR-Att"/>
      <sheetName val="QLIB"/>
      <sheetName val="CCP"/>
      <sheetName val="CA"/>
      <sheetName val="CAPA"/>
      <sheetName val="steel"/>
      <sheetName val="Summary Como"/>
      <sheetName val="Percentage Allocation"/>
      <sheetName val="FO원단위"/>
      <sheetName val="Input"/>
      <sheetName val="PLASTIC"/>
      <sheetName val="GHIA berl"/>
      <sheetName val="Supp.List"/>
      <sheetName val="linearity"/>
      <sheetName val="기안"/>
      <sheetName val="PPK ID"/>
      <sheetName val="MSA"/>
      <sheetName val="CALCUL"/>
      <sheetName val="SEAT QTR"/>
      <sheetName val="ｾﾚｰｼｮﾝ中空ﾗｲﾝ Step2"/>
      <sheetName val="Prämissen"/>
      <sheetName val="PPAP%20(K014006).xls"/>
      <sheetName val="PPAP (K014006)"/>
      <sheetName val="city_sap(sunny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tle "/>
      <sheetName val="Assumptions"/>
      <sheetName val="Hypothesis"/>
      <sheetName val="Total Income Statement"/>
      <sheetName val="Detail of Variances "/>
      <sheetName val="Income Stat. 174 "/>
      <sheetName val="Income Stat. 175 "/>
      <sheetName val="Income Stat. 853-Informatiu"/>
      <sheetName val="Accounts R. - P. Total "/>
      <sheetName val="Accounts R. - P. 174 "/>
      <sheetName val="Total NAE "/>
      <sheetName val="NAE 174 "/>
      <sheetName val="NAE 175 "/>
      <sheetName val="Ratios "/>
      <sheetName val="Total PAT Reporting "/>
      <sheetName val="PAT Reporting 174 "/>
      <sheetName val="PAT Reporting 175 "/>
      <sheetName val="Annual Product Data "/>
      <sheetName val="Monthly Product Data "/>
      <sheetName val="Interco.Mark-up "/>
      <sheetName val="Capital Plan"/>
      <sheetName val="Volume detail "/>
      <sheetName val="Price per unit "/>
      <sheetName val="Spare Parts"/>
    </sheetNames>
    <sheetDataSet>
      <sheetData sheetId="0" refreshError="1"/>
      <sheetData sheetId="1" refreshError="1"/>
      <sheetData sheetId="2" refreshError="1">
        <row r="12">
          <cell r="B12">
            <v>1.1000000000000001</v>
          </cell>
        </row>
      </sheetData>
      <sheetData sheetId="3" refreshError="1"/>
      <sheetData sheetId="4"/>
      <sheetData sheetId="5"/>
      <sheetData sheetId="6"/>
      <sheetData sheetId="7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5acct-ex"/>
      <sheetName val="SAR TAKT"/>
      <sheetName val="#REF"/>
      <sheetName val="JA Projects"/>
      <sheetName val="PL"/>
      <sheetName val="RS-CS"/>
      <sheetName val="HB"/>
      <sheetName val="KJ DOORS"/>
      <sheetName val="JR"/>
      <sheetName val="JEEP"/>
      <sheetName val="Mufflers"/>
      <sheetName val="Special Proj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.M.I.M."/>
      <sheetName val="Summary"/>
      <sheetName val="Financial Input - US$"/>
      <sheetName val="Cost Estimate - US$"/>
      <sheetName val="Financial-Local"/>
      <sheetName val="Cost-Local"/>
      <sheetName val="Tools"/>
      <sheetName val="Depreciation"/>
      <sheetName val="Economic Data"/>
      <sheetName val="Fixed Burden"/>
      <sheetName val="AR Tracking Number"/>
      <sheetName val="Assumption Sheet"/>
      <sheetName val="Financials"/>
    </sheetNames>
    <sheetDataSet>
      <sheetData sheetId="0" refreshError="1"/>
      <sheetData sheetId="1"/>
      <sheetData sheetId="2" refreshError="1"/>
      <sheetData sheetId="3" refreshError="1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.REG"/>
      <sheetName val="SEAT"/>
      <sheetName val="CONSO"/>
      <sheetName val="W.REG QTR"/>
      <sheetName val="SEAT QTR"/>
      <sheetName val="CONSO QTR"/>
      <sheetName val="W.REG YTD"/>
      <sheetName val="SEAT YTD "/>
      <sheetName val="CONSO YTD"/>
      <sheetName val="SRF"/>
      <sheetName val="SRF QTR"/>
      <sheetName val="trading"/>
      <sheetName val="parameter"/>
    </sheetNames>
    <sheetDataSet>
      <sheetData sheetId="0" refreshError="1">
        <row r="11">
          <cell r="M11" t="str">
            <v>JUL 03</v>
          </cell>
        </row>
        <row r="12">
          <cell r="M12" t="str">
            <v>AOP</v>
          </cell>
        </row>
        <row r="14">
          <cell r="M14">
            <v>1.0526315789473684</v>
          </cell>
        </row>
        <row r="16">
          <cell r="M16">
            <v>22</v>
          </cell>
        </row>
      </sheetData>
      <sheetData sheetId="1"/>
      <sheetData sheetId="2"/>
      <sheetData sheetId="3"/>
      <sheetData sheetId="4" refreshError="1"/>
      <sheetData sheetId="5" refreshError="1"/>
      <sheetData sheetId="6"/>
      <sheetData sheetId="7"/>
      <sheetData sheetId="8"/>
      <sheetData sheetId="9"/>
      <sheetData sheetId="10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B1:R21"/>
  <sheetViews>
    <sheetView zoomScale="90" zoomScaleNormal="90" workbookViewId="0">
      <selection activeCell="I13" sqref="I13"/>
    </sheetView>
  </sheetViews>
  <sheetFormatPr defaultColWidth="9.1796875" defaultRowHeight="15.5"/>
  <cols>
    <col min="1" max="1" width="2.453125" style="15" customWidth="1"/>
    <col min="2" max="4" width="18.81640625" style="15" customWidth="1"/>
    <col min="5" max="5" width="18.54296875" style="15" customWidth="1"/>
    <col min="6" max="6" width="4.453125" style="15" customWidth="1"/>
    <col min="7" max="16384" width="9.1796875" style="15"/>
  </cols>
  <sheetData>
    <row r="1" spans="2:18" ht="18.5">
      <c r="B1" s="28" t="s">
        <v>13</v>
      </c>
    </row>
    <row r="2" spans="2:18" ht="18.5">
      <c r="B2" s="16" t="s">
        <v>191</v>
      </c>
      <c r="C2" s="16"/>
      <c r="D2" s="16"/>
      <c r="E2" s="17"/>
    </row>
    <row r="3" spans="2:18" ht="18.5">
      <c r="B3" s="16"/>
      <c r="C3" s="16"/>
      <c r="D3" s="16"/>
      <c r="E3" s="17"/>
    </row>
    <row r="4" spans="2:18" ht="16" thickBot="1">
      <c r="B4" s="17"/>
      <c r="C4" s="17"/>
      <c r="D4" s="17"/>
      <c r="E4" s="17"/>
    </row>
    <row r="5" spans="2:18" ht="27" customHeight="1">
      <c r="B5" s="106" t="s">
        <v>1</v>
      </c>
      <c r="C5" s="107" t="s">
        <v>10</v>
      </c>
      <c r="D5" s="107" t="s">
        <v>200</v>
      </c>
      <c r="E5" s="108" t="s">
        <v>0</v>
      </c>
    </row>
    <row r="6" spans="2:18" ht="27" customHeight="1">
      <c r="B6" s="109" t="s">
        <v>17</v>
      </c>
      <c r="C6" s="110" t="s">
        <v>15</v>
      </c>
      <c r="D6" s="135" t="s">
        <v>201</v>
      </c>
      <c r="E6" s="132"/>
      <c r="H6" s="29" t="s">
        <v>9</v>
      </c>
    </row>
    <row r="7" spans="2:18" ht="27" customHeight="1">
      <c r="B7" s="109" t="s">
        <v>104</v>
      </c>
      <c r="C7" s="110" t="s">
        <v>99</v>
      </c>
      <c r="D7" s="136"/>
      <c r="E7" s="133"/>
      <c r="H7" s="131" t="s">
        <v>8</v>
      </c>
      <c r="I7" s="131"/>
      <c r="J7" s="131"/>
      <c r="K7" s="131"/>
      <c r="L7" s="131"/>
      <c r="M7" s="131"/>
      <c r="N7" s="131"/>
      <c r="O7" s="131"/>
      <c r="P7" s="131"/>
      <c r="Q7" s="131"/>
      <c r="R7" s="131"/>
    </row>
    <row r="8" spans="2:18" ht="27" customHeight="1">
      <c r="B8" s="109" t="s">
        <v>118</v>
      </c>
      <c r="C8" s="109" t="s">
        <v>105</v>
      </c>
      <c r="D8" s="136"/>
      <c r="E8" s="133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</row>
    <row r="9" spans="2:18" ht="27" customHeight="1">
      <c r="B9" s="109" t="s">
        <v>120</v>
      </c>
      <c r="C9" s="109" t="s">
        <v>119</v>
      </c>
      <c r="D9" s="136"/>
      <c r="E9" s="133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</row>
    <row r="10" spans="2:18" ht="27" customHeight="1">
      <c r="B10" s="109" t="s">
        <v>175</v>
      </c>
      <c r="C10" s="109" t="s">
        <v>100</v>
      </c>
      <c r="D10" s="136"/>
      <c r="E10" s="133"/>
      <c r="H10" s="131" t="s">
        <v>186</v>
      </c>
      <c r="I10" s="131"/>
      <c r="J10" s="131"/>
      <c r="K10" s="131"/>
      <c r="L10" s="131"/>
      <c r="M10" s="131"/>
      <c r="N10" s="131"/>
      <c r="O10" s="131"/>
      <c r="P10" s="131"/>
      <c r="Q10" s="131"/>
      <c r="R10" s="131"/>
    </row>
    <row r="11" spans="2:18" ht="27" customHeight="1">
      <c r="B11" s="109" t="s">
        <v>185</v>
      </c>
      <c r="C11" s="109" t="s">
        <v>101</v>
      </c>
      <c r="D11" s="136"/>
      <c r="E11" s="133"/>
      <c r="H11" s="131"/>
      <c r="I11" s="131"/>
      <c r="J11" s="131"/>
      <c r="K11" s="131"/>
      <c r="L11" s="131"/>
      <c r="M11" s="131"/>
      <c r="N11" s="131"/>
      <c r="O11" s="131"/>
      <c r="P11" s="131"/>
      <c r="Q11" s="131"/>
      <c r="R11" s="131"/>
    </row>
    <row r="12" spans="2:18" ht="27" customHeight="1">
      <c r="B12" s="109" t="s">
        <v>2</v>
      </c>
      <c r="C12" s="109"/>
      <c r="D12" s="111"/>
      <c r="E12" s="134"/>
    </row>
    <row r="20" spans="2:14"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</row>
    <row r="21" spans="2:14"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</row>
  </sheetData>
  <mergeCells count="4">
    <mergeCell ref="H10:R11"/>
    <mergeCell ref="H7:R8"/>
    <mergeCell ref="E6:E12"/>
    <mergeCell ref="D6:D11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B050"/>
  </sheetPr>
  <dimension ref="A3:I20"/>
  <sheetViews>
    <sheetView workbookViewId="0">
      <selection activeCell="F16" sqref="F16"/>
    </sheetView>
  </sheetViews>
  <sheetFormatPr defaultColWidth="9.1796875" defaultRowHeight="12.5"/>
  <cols>
    <col min="1" max="1" width="8.1796875" style="17" bestFit="1" customWidth="1"/>
    <col min="2" max="2" width="14.26953125" style="17" customWidth="1"/>
    <col min="3" max="3" width="13.54296875" style="17" bestFit="1" customWidth="1"/>
    <col min="4" max="4" width="14.26953125" style="17" bestFit="1" customWidth="1"/>
    <col min="5" max="5" width="7.7265625" style="17" customWidth="1"/>
    <col min="6" max="6" width="10.453125" style="17" customWidth="1"/>
    <col min="7" max="16384" width="9.1796875" style="17"/>
  </cols>
  <sheetData>
    <row r="3" spans="1:9" s="33" customFormat="1" ht="25">
      <c r="B3" s="53" t="s">
        <v>129</v>
      </c>
      <c r="C3" s="53" t="s">
        <v>129</v>
      </c>
      <c r="D3" s="53" t="s">
        <v>130</v>
      </c>
    </row>
    <row r="4" spans="1:9" s="33" customFormat="1" ht="21" customHeight="1">
      <c r="B4" s="11" t="s">
        <v>188</v>
      </c>
      <c r="C4" s="137" t="s">
        <v>187</v>
      </c>
      <c r="D4" s="137"/>
    </row>
    <row r="5" spans="1:9" s="33" customFormat="1" ht="21" hidden="1" customHeight="1">
      <c r="A5" s="48" t="s">
        <v>107</v>
      </c>
      <c r="B5" s="49"/>
      <c r="C5" s="50"/>
      <c r="D5" s="51"/>
      <c r="E5" s="52"/>
    </row>
    <row r="6" spans="1:9" s="33" customFormat="1" ht="21" hidden="1" customHeight="1">
      <c r="A6" s="48" t="s">
        <v>113</v>
      </c>
      <c r="B6" s="49"/>
      <c r="C6" s="50"/>
      <c r="D6" s="51"/>
      <c r="E6" s="52"/>
    </row>
    <row r="7" spans="1:9" s="33" customFormat="1" ht="21" hidden="1" customHeight="1">
      <c r="A7" s="48" t="s">
        <v>111</v>
      </c>
      <c r="B7" s="49"/>
      <c r="C7" s="50"/>
      <c r="D7" s="51"/>
      <c r="E7" s="52"/>
    </row>
    <row r="8" spans="1:9" s="33" customFormat="1" ht="21" hidden="1" customHeight="1">
      <c r="A8" s="48" t="s">
        <v>108</v>
      </c>
      <c r="B8" s="49"/>
      <c r="C8" s="50"/>
      <c r="D8" s="51"/>
      <c r="E8" s="52"/>
    </row>
    <row r="9" spans="1:9" s="33" customFormat="1" ht="21" hidden="1" customHeight="1">
      <c r="A9" s="48" t="s">
        <v>109</v>
      </c>
      <c r="B9" s="49"/>
      <c r="C9" s="50"/>
      <c r="D9" s="51"/>
      <c r="E9" s="52"/>
    </row>
    <row r="10" spans="1:9" s="33" customFormat="1" ht="21" hidden="1" customHeight="1">
      <c r="A10" s="48" t="s">
        <v>110</v>
      </c>
      <c r="B10" s="49"/>
      <c r="C10" s="50"/>
      <c r="D10" s="51"/>
      <c r="E10" s="52"/>
    </row>
    <row r="11" spans="1:9" s="33" customFormat="1" ht="21" hidden="1" customHeight="1">
      <c r="A11" s="48" t="s">
        <v>116</v>
      </c>
      <c r="B11" s="49"/>
      <c r="C11" s="50"/>
      <c r="D11" s="51"/>
      <c r="E11" s="52"/>
    </row>
    <row r="12" spans="1:9" s="33" customFormat="1" ht="21" hidden="1" customHeight="1">
      <c r="A12" s="48" t="s">
        <v>106</v>
      </c>
      <c r="B12" s="49"/>
      <c r="C12" s="50"/>
      <c r="D12" s="51"/>
      <c r="E12" s="52"/>
    </row>
    <row r="13" spans="1:9" s="33" customFormat="1" ht="21" hidden="1" customHeight="1">
      <c r="A13" s="48" t="s">
        <v>112</v>
      </c>
      <c r="B13" s="49"/>
      <c r="C13" s="50"/>
      <c r="D13" s="51"/>
      <c r="E13" s="52"/>
    </row>
    <row r="14" spans="1:9" s="33" customFormat="1" ht="21" hidden="1" customHeight="1">
      <c r="A14" s="48" t="s">
        <v>115</v>
      </c>
      <c r="B14" s="49"/>
      <c r="C14" s="50"/>
      <c r="D14" s="51"/>
      <c r="E14" s="52"/>
    </row>
    <row r="15" spans="1:9" s="33" customFormat="1" ht="21" hidden="1" customHeight="1">
      <c r="A15" s="48" t="s">
        <v>114</v>
      </c>
      <c r="B15" s="49"/>
      <c r="C15" s="50"/>
      <c r="D15" s="51"/>
      <c r="E15" s="52"/>
    </row>
    <row r="16" spans="1:9" s="33" customFormat="1" ht="21" customHeight="1">
      <c r="A16" s="48" t="s">
        <v>131</v>
      </c>
      <c r="B16" s="54">
        <v>0.752</v>
      </c>
      <c r="C16" s="57">
        <f>0.000714*1000</f>
        <v>0.71399999999999997</v>
      </c>
      <c r="D16" s="96">
        <f>1/C16</f>
        <v>1.400560224089636</v>
      </c>
      <c r="E16" s="52"/>
      <c r="F16" s="67">
        <f>D16*1000</f>
        <v>1400.560224089636</v>
      </c>
      <c r="H16" s="55"/>
      <c r="I16" s="55"/>
    </row>
    <row r="17" spans="1:5" s="33" customFormat="1" ht="21" hidden="1" customHeight="1">
      <c r="A17" s="48" t="s">
        <v>121</v>
      </c>
      <c r="B17" s="49"/>
      <c r="C17" s="50"/>
      <c r="D17" s="51"/>
      <c r="E17" s="52"/>
    </row>
    <row r="18" spans="1:5" s="33" customFormat="1" ht="21" hidden="1" customHeight="1">
      <c r="A18" s="48" t="s">
        <v>122</v>
      </c>
      <c r="B18" s="49"/>
      <c r="C18" s="50"/>
      <c r="D18" s="51"/>
      <c r="E18" s="52"/>
    </row>
    <row r="19" spans="1:5" s="33" customFormat="1" ht="21" hidden="1" customHeight="1">
      <c r="A19" s="48" t="s">
        <v>123</v>
      </c>
      <c r="B19" s="49"/>
      <c r="C19" s="50"/>
      <c r="D19" s="51"/>
      <c r="E19" s="52"/>
    </row>
    <row r="20" spans="1:5" ht="21" customHeight="1">
      <c r="C20" s="35" t="s">
        <v>97</v>
      </c>
    </row>
  </sheetData>
  <mergeCells count="1">
    <mergeCell ref="C4:D4"/>
  </mergeCells>
  <phoneticPr fontId="66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P19"/>
  <sheetViews>
    <sheetView zoomScale="80" zoomScaleNormal="80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C25" sqref="C25"/>
    </sheetView>
  </sheetViews>
  <sheetFormatPr defaultColWidth="8.81640625" defaultRowHeight="13"/>
  <cols>
    <col min="1" max="1" width="6.1796875" style="62" customWidth="1"/>
    <col min="2" max="2" width="13.26953125" style="62" customWidth="1"/>
    <col min="3" max="4" width="11.26953125" style="62" customWidth="1"/>
    <col min="5" max="5" width="14.453125" style="62" customWidth="1"/>
    <col min="6" max="6" width="31.26953125" style="62" customWidth="1"/>
    <col min="7" max="8" width="18.26953125" style="62" customWidth="1"/>
    <col min="9" max="16384" width="8.81640625" style="62"/>
  </cols>
  <sheetData>
    <row r="1" spans="1:16" hidden="1"/>
    <row r="2" spans="1:16" hidden="1"/>
    <row r="3" spans="1:16" hidden="1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</row>
    <row r="4" spans="1:16" ht="18" hidden="1">
      <c r="A4" s="61"/>
      <c r="B4" s="63" t="s">
        <v>168</v>
      </c>
      <c r="C4" s="63"/>
      <c r="D4" s="63"/>
      <c r="E4" s="63"/>
      <c r="F4" s="61"/>
      <c r="G4" s="64" t="s">
        <v>134</v>
      </c>
      <c r="H4" s="64"/>
      <c r="I4" s="61"/>
      <c r="J4" s="61"/>
      <c r="K4" s="61"/>
      <c r="L4" s="61"/>
    </row>
    <row r="5" spans="1:16" ht="14" hidden="1">
      <c r="A5" s="61"/>
      <c r="B5" s="61"/>
      <c r="C5" s="61"/>
      <c r="D5" s="61"/>
      <c r="E5" s="61"/>
      <c r="F5" s="61"/>
      <c r="G5" s="65">
        <v>43282</v>
      </c>
      <c r="H5" s="65"/>
      <c r="I5" s="61"/>
      <c r="J5" s="61"/>
      <c r="K5" s="61"/>
      <c r="L5" s="61"/>
    </row>
    <row r="6" spans="1:16" hidden="1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</row>
    <row r="7" spans="1:16" ht="19.899999999999999" customHeight="1">
      <c r="A7" s="100" t="s">
        <v>135</v>
      </c>
      <c r="B7" s="100" t="s">
        <v>136</v>
      </c>
      <c r="C7" s="100" t="s">
        <v>137</v>
      </c>
      <c r="D7" s="100" t="s">
        <v>198</v>
      </c>
      <c r="E7" s="100" t="s">
        <v>138</v>
      </c>
      <c r="F7" s="100" t="s">
        <v>139</v>
      </c>
      <c r="G7" s="100" t="s">
        <v>140</v>
      </c>
      <c r="H7" s="99"/>
      <c r="I7" s="61"/>
      <c r="J7" s="61"/>
      <c r="K7" s="61"/>
      <c r="L7" s="61"/>
      <c r="O7" s="17"/>
    </row>
    <row r="8" spans="1:16" ht="19.899999999999999" customHeight="1">
      <c r="A8" s="101">
        <v>1</v>
      </c>
      <c r="B8" s="139" t="s">
        <v>141</v>
      </c>
      <c r="C8" s="139" t="s">
        <v>142</v>
      </c>
      <c r="D8" s="142" t="s">
        <v>199</v>
      </c>
      <c r="E8" s="101" t="s">
        <v>143</v>
      </c>
      <c r="F8" s="101" t="s">
        <v>144</v>
      </c>
      <c r="G8" s="101" t="s">
        <v>145</v>
      </c>
      <c r="H8" s="61"/>
      <c r="I8" s="61"/>
      <c r="J8" s="61"/>
      <c r="K8" s="61"/>
      <c r="L8" s="61"/>
    </row>
    <row r="9" spans="1:16" ht="19.899999999999999" customHeight="1">
      <c r="A9" s="101">
        <v>2</v>
      </c>
      <c r="B9" s="140"/>
      <c r="C9" s="140"/>
      <c r="D9" s="143"/>
      <c r="E9" s="101" t="s">
        <v>184</v>
      </c>
      <c r="F9" s="101" t="s">
        <v>144</v>
      </c>
      <c r="G9" s="101" t="s">
        <v>178</v>
      </c>
      <c r="H9" s="61"/>
      <c r="I9" s="61"/>
      <c r="J9" s="61"/>
      <c r="K9" s="61"/>
      <c r="L9" s="61"/>
    </row>
    <row r="10" spans="1:16" ht="19.899999999999999" customHeight="1">
      <c r="A10" s="101">
        <v>3</v>
      </c>
      <c r="B10" s="104" t="s">
        <v>146</v>
      </c>
      <c r="C10" s="141"/>
      <c r="D10" s="143"/>
      <c r="E10" s="101" t="s">
        <v>147</v>
      </c>
      <c r="F10" s="101" t="s">
        <v>148</v>
      </c>
      <c r="G10" s="101" t="s">
        <v>178</v>
      </c>
      <c r="H10" s="61"/>
      <c r="I10" s="61"/>
      <c r="J10" s="61"/>
      <c r="K10" s="61"/>
      <c r="L10" s="61"/>
    </row>
    <row r="11" spans="1:16" ht="19.899999999999999" customHeight="1">
      <c r="A11" s="101">
        <v>4</v>
      </c>
      <c r="B11" s="104" t="s">
        <v>149</v>
      </c>
      <c r="C11" s="104" t="s">
        <v>179</v>
      </c>
      <c r="D11" s="143"/>
      <c r="E11" s="101" t="s">
        <v>177</v>
      </c>
      <c r="F11" s="101" t="s">
        <v>150</v>
      </c>
      <c r="G11" s="101" t="s">
        <v>178</v>
      </c>
      <c r="H11" s="61"/>
      <c r="I11" s="61"/>
      <c r="J11" s="78"/>
      <c r="K11" s="78"/>
      <c r="L11" s="78"/>
      <c r="M11" s="78"/>
      <c r="N11" s="78"/>
      <c r="O11" s="78"/>
      <c r="P11" s="78"/>
    </row>
    <row r="12" spans="1:16" ht="19.899999999999999" customHeight="1">
      <c r="A12" s="101">
        <v>5</v>
      </c>
      <c r="B12" s="103" t="s">
        <v>180</v>
      </c>
      <c r="C12" s="103" t="s">
        <v>181</v>
      </c>
      <c r="D12" s="143"/>
      <c r="E12" s="101" t="s">
        <v>151</v>
      </c>
      <c r="F12" s="101" t="s">
        <v>152</v>
      </c>
      <c r="G12" s="101" t="s">
        <v>178</v>
      </c>
      <c r="H12" s="61"/>
      <c r="I12" s="61"/>
      <c r="J12" s="78"/>
      <c r="K12" s="78"/>
      <c r="L12" s="78"/>
      <c r="M12" s="78"/>
      <c r="N12" s="78"/>
      <c r="O12" s="78"/>
      <c r="P12" s="78"/>
    </row>
    <row r="13" spans="1:16" ht="19.899999999999999" customHeight="1">
      <c r="A13" s="101">
        <v>6</v>
      </c>
      <c r="B13" s="105" t="s">
        <v>153</v>
      </c>
      <c r="C13" s="101" t="s">
        <v>154</v>
      </c>
      <c r="D13" s="143"/>
      <c r="E13" s="101" t="s">
        <v>155</v>
      </c>
      <c r="F13" s="101" t="s">
        <v>156</v>
      </c>
      <c r="G13" s="101" t="s">
        <v>145</v>
      </c>
      <c r="H13" s="61"/>
      <c r="I13" s="61"/>
      <c r="J13" s="61"/>
      <c r="K13" s="61"/>
      <c r="L13" s="61"/>
    </row>
    <row r="14" spans="1:16" ht="19.899999999999999" customHeight="1">
      <c r="A14" s="101">
        <v>7</v>
      </c>
      <c r="B14" s="102" t="s">
        <v>157</v>
      </c>
      <c r="C14" s="102" t="s">
        <v>182</v>
      </c>
      <c r="D14" s="143"/>
      <c r="E14" s="101" t="s">
        <v>158</v>
      </c>
      <c r="F14" s="101" t="s">
        <v>159</v>
      </c>
      <c r="G14" s="101" t="s">
        <v>178</v>
      </c>
      <c r="H14" s="61"/>
      <c r="I14" s="61"/>
      <c r="J14" s="61"/>
      <c r="K14" s="61"/>
      <c r="L14" s="61"/>
    </row>
    <row r="15" spans="1:16" ht="19.899999999999999" customHeight="1">
      <c r="A15" s="101">
        <v>8</v>
      </c>
      <c r="B15" s="138" t="s">
        <v>160</v>
      </c>
      <c r="C15" s="138" t="s">
        <v>161</v>
      </c>
      <c r="D15" s="143"/>
      <c r="E15" s="101" t="s">
        <v>162</v>
      </c>
      <c r="F15" s="101" t="s">
        <v>163</v>
      </c>
      <c r="G15" s="101" t="s">
        <v>145</v>
      </c>
      <c r="H15" s="61"/>
      <c r="I15" s="61"/>
      <c r="J15" s="61"/>
      <c r="K15" s="61"/>
      <c r="L15" s="61"/>
    </row>
    <row r="16" spans="1:16" ht="19.899999999999999" customHeight="1">
      <c r="A16" s="101">
        <v>9</v>
      </c>
      <c r="B16" s="138"/>
      <c r="C16" s="138"/>
      <c r="D16" s="144"/>
      <c r="E16" s="101" t="s">
        <v>164</v>
      </c>
      <c r="F16" s="101" t="s">
        <v>165</v>
      </c>
      <c r="G16" s="101" t="s">
        <v>145</v>
      </c>
      <c r="H16" s="61"/>
      <c r="I16" s="61"/>
      <c r="J16" s="61"/>
      <c r="K16" s="61"/>
      <c r="L16" s="61"/>
    </row>
    <row r="17" spans="9:12">
      <c r="I17" s="66"/>
      <c r="J17" s="61"/>
      <c r="K17" s="61"/>
      <c r="L17" s="61"/>
    </row>
    <row r="18" spans="9:12">
      <c r="I18" s="66"/>
      <c r="J18" s="61"/>
      <c r="K18" s="61"/>
      <c r="L18" s="61"/>
    </row>
    <row r="19" spans="9:12">
      <c r="I19" s="66"/>
      <c r="J19" s="61"/>
      <c r="K19" s="61"/>
      <c r="L19" s="61"/>
    </row>
  </sheetData>
  <mergeCells count="5">
    <mergeCell ref="B15:B16"/>
    <mergeCell ref="C15:C16"/>
    <mergeCell ref="B8:B9"/>
    <mergeCell ref="C8:C10"/>
    <mergeCell ref="D8:D16"/>
  </mergeCells>
  <phoneticPr fontId="68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3:O15"/>
  <sheetViews>
    <sheetView workbookViewId="0">
      <selection activeCell="E18" sqref="E18"/>
    </sheetView>
  </sheetViews>
  <sheetFormatPr defaultRowHeight="13"/>
  <cols>
    <col min="1" max="1" width="21.26953125" customWidth="1"/>
    <col min="2" max="2" width="12" customWidth="1"/>
    <col min="15" max="15" width="27" customWidth="1"/>
  </cols>
  <sheetData>
    <row r="3" spans="1:15" ht="13.5" thickBot="1"/>
    <row r="4" spans="1:15">
      <c r="A4" s="38"/>
      <c r="B4" s="39"/>
      <c r="C4" s="145" t="s">
        <v>193</v>
      </c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7" t="s">
        <v>124</v>
      </c>
    </row>
    <row r="5" spans="1:15" ht="26.5" customHeight="1">
      <c r="A5" s="40" t="s">
        <v>125</v>
      </c>
      <c r="B5" s="41" t="s">
        <v>126</v>
      </c>
      <c r="C5" s="146"/>
      <c r="D5" s="146"/>
      <c r="E5" s="146"/>
      <c r="F5" s="146"/>
      <c r="G5" s="146"/>
      <c r="H5" s="146"/>
      <c r="I5" s="146"/>
      <c r="J5" s="146"/>
      <c r="K5" s="146"/>
      <c r="L5" s="146"/>
      <c r="M5" s="146"/>
      <c r="N5" s="146"/>
      <c r="O5" s="148"/>
    </row>
    <row r="6" spans="1:15" ht="26.5" customHeight="1">
      <c r="A6" s="42"/>
      <c r="B6" s="43"/>
      <c r="C6" s="44">
        <v>45962</v>
      </c>
      <c r="D6" s="44">
        <v>45992</v>
      </c>
      <c r="E6" s="44">
        <v>46023</v>
      </c>
      <c r="F6" s="44">
        <v>46054</v>
      </c>
      <c r="G6" s="44">
        <v>46082</v>
      </c>
      <c r="H6" s="44">
        <v>46113</v>
      </c>
      <c r="I6" s="44">
        <v>46143</v>
      </c>
      <c r="J6" s="44">
        <v>46174</v>
      </c>
      <c r="K6" s="44">
        <v>46204</v>
      </c>
      <c r="L6" s="44">
        <v>46235</v>
      </c>
      <c r="M6" s="44">
        <v>46266</v>
      </c>
      <c r="N6" s="44">
        <v>46296</v>
      </c>
      <c r="O6" s="148"/>
    </row>
    <row r="7" spans="1:15" ht="30" customHeight="1">
      <c r="A7" s="76"/>
      <c r="B7" s="45" t="s">
        <v>183</v>
      </c>
      <c r="C7" s="85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7"/>
    </row>
    <row r="8" spans="1:15" ht="30" customHeight="1">
      <c r="A8" s="77"/>
      <c r="B8" s="45" t="s">
        <v>132</v>
      </c>
      <c r="C8" s="85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7"/>
    </row>
    <row r="9" spans="1:15" ht="30" customHeight="1">
      <c r="A9" s="59"/>
      <c r="B9" s="45" t="s">
        <v>133</v>
      </c>
      <c r="C9" s="59"/>
      <c r="D9" s="88"/>
      <c r="E9" s="59"/>
      <c r="F9" s="59"/>
      <c r="G9" s="59"/>
      <c r="H9" s="59"/>
      <c r="I9" s="59"/>
      <c r="J9" s="59"/>
      <c r="K9" s="59"/>
      <c r="L9" s="59">
        <v>2.5</v>
      </c>
      <c r="M9" s="59"/>
      <c r="N9" s="59"/>
      <c r="O9" s="47"/>
    </row>
    <row r="10" spans="1:15" ht="30" customHeight="1">
      <c r="A10" s="76" t="s">
        <v>197</v>
      </c>
      <c r="B10" s="45" t="s">
        <v>194</v>
      </c>
      <c r="C10" s="97">
        <v>2.5</v>
      </c>
      <c r="D10" s="98">
        <v>2.5</v>
      </c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7"/>
    </row>
    <row r="11" spans="1:15" ht="30" customHeight="1">
      <c r="A11" s="77"/>
      <c r="B11" s="45"/>
      <c r="C11" s="85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7"/>
    </row>
    <row r="12" spans="1:15" ht="30" customHeight="1">
      <c r="A12" s="59"/>
      <c r="B12" s="45"/>
      <c r="C12" s="59"/>
      <c r="D12" s="88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47"/>
    </row>
    <row r="15" spans="1:15" ht="15.5">
      <c r="B15" s="86"/>
      <c r="C15" s="87"/>
      <c r="D15" s="87"/>
      <c r="E15" s="87"/>
    </row>
  </sheetData>
  <mergeCells count="2">
    <mergeCell ref="C4:N5"/>
    <mergeCell ref="O4:O6"/>
  </mergeCells>
  <phoneticPr fontId="62" type="noConversion"/>
  <pageMargins left="0.25" right="0.25" top="0.75" bottom="0.75" header="0.3" footer="0.3"/>
  <pageSetup paperSize="9" scale="8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0" tint="-0.499984740745262"/>
    <pageSetUpPr fitToPage="1"/>
  </sheetPr>
  <dimension ref="A1:T98"/>
  <sheetViews>
    <sheetView showZeros="0" zoomScale="70" zoomScaleNormal="70" zoomScaleSheetLayoutView="85" workbookViewId="0">
      <pane xSplit="3" ySplit="5" topLeftCell="D9" activePane="bottomRight" state="frozen"/>
      <selection activeCell="L80" sqref="L80"/>
      <selection pane="topRight" activeCell="L80" sqref="L80"/>
      <selection pane="bottomLeft" activeCell="L80" sqref="L80"/>
      <selection pane="bottomRight" activeCell="O24" sqref="O24"/>
    </sheetView>
  </sheetViews>
  <sheetFormatPr defaultColWidth="9.1796875" defaultRowHeight="11.5" outlineLevelCol="1"/>
  <cols>
    <col min="1" max="1" width="10.26953125" style="3" customWidth="1"/>
    <col min="2" max="2" width="13" style="4" bestFit="1" customWidth="1"/>
    <col min="3" max="3" width="31.54296875" style="4" customWidth="1"/>
    <col min="4" max="4" width="15.7265625" style="4" customWidth="1"/>
    <col min="5" max="5" width="14.26953125" style="4" customWidth="1"/>
    <col min="6" max="6" width="13.7265625" style="4" customWidth="1"/>
    <col min="7" max="18" width="9.54296875" style="9" customWidth="1" outlineLevel="1"/>
    <col min="19" max="19" width="11.54296875" style="3" customWidth="1"/>
    <col min="20" max="20" width="10.54296875" style="3" customWidth="1"/>
    <col min="21" max="16384" width="9.1796875" style="3"/>
  </cols>
  <sheetData>
    <row r="1" spans="1:20" ht="15.5">
      <c r="A1" s="1" t="s">
        <v>117</v>
      </c>
      <c r="C1" s="6"/>
      <c r="D1" s="6"/>
      <c r="E1" s="6"/>
      <c r="F1" s="6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20" ht="15.5">
      <c r="A2" s="1" t="e">
        <f>#REF!</f>
        <v>#REF!</v>
      </c>
      <c r="C2" s="6"/>
      <c r="D2" s="6"/>
      <c r="E2" s="6"/>
      <c r="F2" s="6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</row>
    <row r="3" spans="1:20" ht="5.25" customHeight="1">
      <c r="A3" s="1"/>
      <c r="C3" s="6"/>
      <c r="D3" s="6"/>
      <c r="E3" s="6"/>
      <c r="F3" s="6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</row>
    <row r="4" spans="1:20" s="4" customFormat="1" ht="17.5" customHeight="1">
      <c r="A4" s="35" t="s">
        <v>97</v>
      </c>
      <c r="D4" s="5"/>
      <c r="E4" s="5"/>
      <c r="F4" s="5"/>
      <c r="G4" s="10" t="s">
        <v>3</v>
      </c>
      <c r="H4" s="10" t="s">
        <v>3</v>
      </c>
      <c r="I4" s="10" t="s">
        <v>3</v>
      </c>
      <c r="J4" s="10" t="s">
        <v>3</v>
      </c>
      <c r="K4" s="10" t="s">
        <v>3</v>
      </c>
      <c r="L4" s="10" t="s">
        <v>3</v>
      </c>
      <c r="M4" s="10" t="s">
        <v>167</v>
      </c>
      <c r="N4" s="10" t="s">
        <v>3</v>
      </c>
      <c r="O4" s="10" t="s">
        <v>3</v>
      </c>
      <c r="P4" s="10" t="s">
        <v>3</v>
      </c>
      <c r="Q4" s="10" t="s">
        <v>3</v>
      </c>
      <c r="R4" s="10" t="s">
        <v>3</v>
      </c>
      <c r="S4" s="10" t="s">
        <v>166</v>
      </c>
      <c r="T4" s="10"/>
    </row>
    <row r="5" spans="1:20" s="4" customFormat="1" ht="17.5" customHeight="1" thickBot="1">
      <c r="A5" s="7" t="s">
        <v>4</v>
      </c>
      <c r="B5" s="7" t="s">
        <v>98</v>
      </c>
      <c r="C5" s="7" t="s">
        <v>7</v>
      </c>
      <c r="D5" s="12" t="s">
        <v>11</v>
      </c>
      <c r="E5" s="12" t="s">
        <v>10</v>
      </c>
      <c r="F5" s="12" t="s">
        <v>128</v>
      </c>
      <c r="G5" s="25">
        <v>81025</v>
      </c>
      <c r="H5" s="25">
        <v>81055</v>
      </c>
      <c r="I5" s="25">
        <v>81086</v>
      </c>
      <c r="J5" s="25">
        <v>81117</v>
      </c>
      <c r="K5" s="25">
        <v>81145</v>
      </c>
      <c r="L5" s="25">
        <v>81176</v>
      </c>
      <c r="M5" s="25">
        <v>81206</v>
      </c>
      <c r="N5" s="25">
        <v>81237</v>
      </c>
      <c r="O5" s="25">
        <v>81267</v>
      </c>
      <c r="P5" s="25">
        <v>81298</v>
      </c>
      <c r="Q5" s="25">
        <v>81329</v>
      </c>
      <c r="R5" s="25">
        <v>81359</v>
      </c>
      <c r="S5" s="25" t="s">
        <v>174</v>
      </c>
      <c r="T5" s="25"/>
    </row>
    <row r="6" spans="1:20" ht="17.5" customHeight="1">
      <c r="A6" s="22"/>
      <c r="B6" s="34"/>
      <c r="C6" s="14" t="s">
        <v>18</v>
      </c>
      <c r="D6" s="20" t="s">
        <v>17</v>
      </c>
      <c r="E6" s="20" t="s">
        <v>15</v>
      </c>
      <c r="F6" s="26"/>
      <c r="G6" s="14" t="e">
        <f>#REF!+#REF!+#REF!</f>
        <v>#REF!</v>
      </c>
      <c r="H6" s="14" t="e">
        <f>#REF!+#REF!+#REF!</f>
        <v>#REF!</v>
      </c>
      <c r="I6" s="14" t="e">
        <f>#REF!+#REF!+#REF!</f>
        <v>#REF!</v>
      </c>
      <c r="J6" s="14" t="e">
        <f>#REF!+#REF!+#REF!</f>
        <v>#REF!</v>
      </c>
      <c r="K6" s="14" t="e">
        <f>#REF!+#REF!+#REF!</f>
        <v>#REF!</v>
      </c>
      <c r="L6" s="14" t="e">
        <f>#REF!+#REF!+#REF!</f>
        <v>#REF!</v>
      </c>
      <c r="M6" s="14" t="e">
        <f>#REF!+#REF!+#REF!</f>
        <v>#REF!</v>
      </c>
      <c r="N6" s="14" t="e">
        <f>#REF!+#REF!+#REF!</f>
        <v>#REF!</v>
      </c>
      <c r="O6" s="14" t="e">
        <f>#REF!+#REF!+#REF!</f>
        <v>#REF!</v>
      </c>
      <c r="P6" s="14" t="e">
        <f>#REF!+#REF!+#REF!</f>
        <v>#REF!</v>
      </c>
      <c r="Q6" s="14" t="e">
        <f>#REF!+#REF!+#REF!</f>
        <v>#REF!</v>
      </c>
      <c r="R6" s="14" t="e">
        <f>#REF!+#REF!+#REF!</f>
        <v>#REF!</v>
      </c>
      <c r="S6" s="14">
        <v>0</v>
      </c>
      <c r="T6" s="14">
        <v>0</v>
      </c>
    </row>
    <row r="7" spans="1:20" ht="17.5" customHeight="1">
      <c r="A7" s="22"/>
      <c r="B7" s="34"/>
      <c r="C7" s="14" t="s">
        <v>19</v>
      </c>
      <c r="D7" s="20" t="s">
        <v>16</v>
      </c>
      <c r="E7" s="20" t="s">
        <v>14</v>
      </c>
      <c r="F7" s="20">
        <v>711000</v>
      </c>
      <c r="G7" s="14" t="e">
        <f>#REF!+#REF!</f>
        <v>#REF!</v>
      </c>
      <c r="H7" s="14" t="e">
        <f>#REF!+#REF!</f>
        <v>#REF!</v>
      </c>
      <c r="I7" s="14" t="e">
        <f>#REF!+#REF!</f>
        <v>#REF!</v>
      </c>
      <c r="J7" s="14" t="e">
        <f>#REF!+#REF!</f>
        <v>#REF!</v>
      </c>
      <c r="K7" s="14" t="e">
        <f>#REF!+#REF!</f>
        <v>#REF!</v>
      </c>
      <c r="L7" s="14" t="e">
        <f>#REF!+#REF!</f>
        <v>#REF!</v>
      </c>
      <c r="M7" s="14" t="e">
        <f>#REF!+#REF!</f>
        <v>#REF!</v>
      </c>
      <c r="N7" s="14" t="e">
        <f>#REF!+#REF!</f>
        <v>#REF!</v>
      </c>
      <c r="O7" s="14" t="e">
        <f>#REF!+#REF!</f>
        <v>#REF!</v>
      </c>
      <c r="P7" s="14" t="e">
        <f>#REF!+#REF!</f>
        <v>#REF!</v>
      </c>
      <c r="Q7" s="14" t="e">
        <f>#REF!+#REF!</f>
        <v>#REF!</v>
      </c>
      <c r="R7" s="14" t="e">
        <f>#REF!+#REF!</f>
        <v>#REF!</v>
      </c>
      <c r="S7" s="14" t="e">
        <f>SUM(G7:R7)</f>
        <v>#REF!</v>
      </c>
      <c r="T7" s="14"/>
    </row>
    <row r="8" spans="1:20" ht="17.5" customHeight="1">
      <c r="A8" s="22"/>
      <c r="B8" s="34"/>
      <c r="C8" s="14" t="s">
        <v>20</v>
      </c>
      <c r="D8" s="20" t="s">
        <v>16</v>
      </c>
      <c r="E8" s="20" t="s">
        <v>14</v>
      </c>
      <c r="F8" s="20"/>
      <c r="G8" s="14" t="e">
        <f>#REF!+#REF!</f>
        <v>#REF!</v>
      </c>
      <c r="H8" s="14" t="e">
        <f>#REF!+#REF!</f>
        <v>#REF!</v>
      </c>
      <c r="I8" s="14" t="e">
        <f>#REF!+#REF!</f>
        <v>#REF!</v>
      </c>
      <c r="J8" s="14" t="e">
        <f>#REF!+#REF!</f>
        <v>#REF!</v>
      </c>
      <c r="K8" s="14" t="e">
        <f>#REF!+#REF!</f>
        <v>#REF!</v>
      </c>
      <c r="L8" s="14" t="e">
        <f>#REF!+#REF!</f>
        <v>#REF!</v>
      </c>
      <c r="M8" s="14" t="e">
        <f>#REF!+#REF!</f>
        <v>#REF!</v>
      </c>
      <c r="N8" s="14" t="e">
        <f>#REF!+#REF!</f>
        <v>#REF!</v>
      </c>
      <c r="O8" s="14" t="e">
        <f>#REF!+#REF!</f>
        <v>#REF!</v>
      </c>
      <c r="P8" s="14" t="e">
        <f>#REF!+#REF!</f>
        <v>#REF!</v>
      </c>
      <c r="Q8" s="14" t="e">
        <f>#REF!+#REF!</f>
        <v>#REF!</v>
      </c>
      <c r="R8" s="14" t="e">
        <f>#REF!+#REF!</f>
        <v>#REF!</v>
      </c>
      <c r="S8" s="14" t="e">
        <f t="shared" ref="S8:S71" si="0">SUM(G8:R8)</f>
        <v>#REF!</v>
      </c>
      <c r="T8" s="14"/>
    </row>
    <row r="9" spans="1:20" ht="17.5" customHeight="1">
      <c r="A9" s="22"/>
      <c r="B9" s="34"/>
      <c r="C9" s="14" t="s">
        <v>21</v>
      </c>
      <c r="D9" s="20" t="s">
        <v>16</v>
      </c>
      <c r="E9" s="20" t="s">
        <v>14</v>
      </c>
      <c r="F9" s="20"/>
      <c r="G9" s="14" t="e">
        <f>#REF!+#REF!</f>
        <v>#REF!</v>
      </c>
      <c r="H9" s="14" t="e">
        <f>#REF!+#REF!</f>
        <v>#REF!</v>
      </c>
      <c r="I9" s="14" t="e">
        <f>#REF!+#REF!</f>
        <v>#REF!</v>
      </c>
      <c r="J9" s="14" t="e">
        <f>#REF!+#REF!</f>
        <v>#REF!</v>
      </c>
      <c r="K9" s="14" t="e">
        <f>#REF!+#REF!</f>
        <v>#REF!</v>
      </c>
      <c r="L9" s="14" t="e">
        <f>#REF!+#REF!</f>
        <v>#REF!</v>
      </c>
      <c r="M9" s="14" t="e">
        <f>#REF!+#REF!</f>
        <v>#REF!</v>
      </c>
      <c r="N9" s="14" t="e">
        <f>#REF!+#REF!</f>
        <v>#REF!</v>
      </c>
      <c r="O9" s="14" t="e">
        <f>#REF!+#REF!</f>
        <v>#REF!</v>
      </c>
      <c r="P9" s="14" t="e">
        <f>#REF!+#REF!</f>
        <v>#REF!</v>
      </c>
      <c r="Q9" s="14" t="e">
        <f>#REF!+#REF!</f>
        <v>#REF!</v>
      </c>
      <c r="R9" s="14" t="e">
        <f>#REF!+#REF!</f>
        <v>#REF!</v>
      </c>
      <c r="S9" s="14" t="e">
        <f t="shared" si="0"/>
        <v>#REF!</v>
      </c>
      <c r="T9" s="14"/>
    </row>
    <row r="10" spans="1:20" ht="17.5" customHeight="1">
      <c r="A10" s="22"/>
      <c r="B10" s="34"/>
      <c r="C10" s="14" t="s">
        <v>169</v>
      </c>
      <c r="D10" s="20" t="s">
        <v>16</v>
      </c>
      <c r="E10" s="20" t="s">
        <v>14</v>
      </c>
      <c r="F10" s="20">
        <v>725510</v>
      </c>
      <c r="G10" s="14" t="e">
        <f>#REF!+#REF!</f>
        <v>#REF!</v>
      </c>
      <c r="H10" s="14" t="e">
        <f>#REF!+#REF!</f>
        <v>#REF!</v>
      </c>
      <c r="I10" s="14" t="e">
        <f>#REF!+#REF!</f>
        <v>#REF!</v>
      </c>
      <c r="J10" s="14" t="e">
        <f>#REF!+#REF!</f>
        <v>#REF!</v>
      </c>
      <c r="K10" s="14" t="e">
        <f>#REF!+#REF!</f>
        <v>#REF!</v>
      </c>
      <c r="L10" s="14" t="e">
        <f>#REF!+#REF!</f>
        <v>#REF!</v>
      </c>
      <c r="M10" s="14" t="e">
        <f>#REF!+#REF!</f>
        <v>#REF!</v>
      </c>
      <c r="N10" s="14" t="e">
        <f>#REF!+#REF!</f>
        <v>#REF!</v>
      </c>
      <c r="O10" s="14" t="e">
        <f>#REF!+#REF!</f>
        <v>#REF!</v>
      </c>
      <c r="P10" s="14" t="e">
        <f>#REF!+#REF!</f>
        <v>#REF!</v>
      </c>
      <c r="Q10" s="14" t="e">
        <f>#REF!+#REF!</f>
        <v>#REF!</v>
      </c>
      <c r="R10" s="14" t="e">
        <f>#REF!+#REF!</f>
        <v>#REF!</v>
      </c>
      <c r="S10" s="14" t="e">
        <f t="shared" si="0"/>
        <v>#REF!</v>
      </c>
      <c r="T10" s="14"/>
    </row>
    <row r="11" spans="1:20" ht="17.5" customHeight="1">
      <c r="A11" s="22"/>
      <c r="B11" s="34"/>
      <c r="C11" s="14" t="s">
        <v>22</v>
      </c>
      <c r="D11" s="20" t="s">
        <v>16</v>
      </c>
      <c r="E11" s="20" t="s">
        <v>14</v>
      </c>
      <c r="F11" s="20">
        <v>717100</v>
      </c>
      <c r="G11" s="14" t="e">
        <f>#REF!+#REF!</f>
        <v>#REF!</v>
      </c>
      <c r="H11" s="14" t="e">
        <f>#REF!+#REF!</f>
        <v>#REF!</v>
      </c>
      <c r="I11" s="14" t="e">
        <f>#REF!+#REF!</f>
        <v>#REF!</v>
      </c>
      <c r="J11" s="14" t="e">
        <f>#REF!+#REF!</f>
        <v>#REF!</v>
      </c>
      <c r="K11" s="14" t="e">
        <f>#REF!+#REF!</f>
        <v>#REF!</v>
      </c>
      <c r="L11" s="14" t="e">
        <f>#REF!+#REF!</f>
        <v>#REF!</v>
      </c>
      <c r="M11" s="14" t="e">
        <f>#REF!+#REF!</f>
        <v>#REF!</v>
      </c>
      <c r="N11" s="14" t="e">
        <f>#REF!+#REF!</f>
        <v>#REF!</v>
      </c>
      <c r="O11" s="14" t="e">
        <f>#REF!+#REF!</f>
        <v>#REF!</v>
      </c>
      <c r="P11" s="14" t="e">
        <f>#REF!+#REF!</f>
        <v>#REF!</v>
      </c>
      <c r="Q11" s="14" t="e">
        <f>#REF!+#REF!</f>
        <v>#REF!</v>
      </c>
      <c r="R11" s="14" t="e">
        <f>#REF!+#REF!</f>
        <v>#REF!</v>
      </c>
      <c r="S11" s="14" t="e">
        <f t="shared" si="0"/>
        <v>#REF!</v>
      </c>
      <c r="T11" s="14"/>
    </row>
    <row r="12" spans="1:20" ht="17.5" customHeight="1">
      <c r="A12" s="22"/>
      <c r="B12" s="34">
        <v>78261</v>
      </c>
      <c r="C12" s="14" t="s">
        <v>23</v>
      </c>
      <c r="D12" s="20" t="s">
        <v>16</v>
      </c>
      <c r="E12" s="20" t="s">
        <v>14</v>
      </c>
      <c r="F12" s="20">
        <v>721000</v>
      </c>
      <c r="G12" s="14" t="e">
        <f>#REF!+#REF!</f>
        <v>#REF!</v>
      </c>
      <c r="H12" s="14" t="e">
        <f>#REF!+#REF!</f>
        <v>#REF!</v>
      </c>
      <c r="I12" s="14" t="e">
        <f>#REF!+#REF!</f>
        <v>#REF!</v>
      </c>
      <c r="J12" s="14" t="e">
        <f>#REF!+#REF!</f>
        <v>#REF!</v>
      </c>
      <c r="K12" s="14" t="e">
        <f>#REF!+#REF!</f>
        <v>#REF!</v>
      </c>
      <c r="L12" s="14" t="e">
        <f>#REF!+#REF!</f>
        <v>#REF!</v>
      </c>
      <c r="M12" s="14" t="e">
        <f>#REF!+#REF!</f>
        <v>#REF!</v>
      </c>
      <c r="N12" s="14" t="e">
        <f>#REF!+#REF!</f>
        <v>#REF!</v>
      </c>
      <c r="O12" s="14" t="e">
        <f>#REF!+#REF!</f>
        <v>#REF!</v>
      </c>
      <c r="P12" s="14" t="e">
        <f>#REF!+#REF!</f>
        <v>#REF!</v>
      </c>
      <c r="Q12" s="14" t="e">
        <f>#REF!+#REF!</f>
        <v>#REF!</v>
      </c>
      <c r="R12" s="14" t="e">
        <f>#REF!+#REF!</f>
        <v>#REF!</v>
      </c>
      <c r="S12" s="14" t="e">
        <f t="shared" si="0"/>
        <v>#REF!</v>
      </c>
      <c r="T12" s="14"/>
    </row>
    <row r="13" spans="1:20" ht="17.5" customHeight="1">
      <c r="A13" s="22"/>
      <c r="B13" s="34">
        <v>78262</v>
      </c>
      <c r="C13" s="14" t="s">
        <v>170</v>
      </c>
      <c r="D13" s="20" t="s">
        <v>16</v>
      </c>
      <c r="E13" s="20" t="s">
        <v>14</v>
      </c>
      <c r="F13" s="20">
        <v>713100</v>
      </c>
      <c r="G13" s="14" t="e">
        <f>#REF!+#REF!</f>
        <v>#REF!</v>
      </c>
      <c r="H13" s="14" t="e">
        <f>#REF!+#REF!</f>
        <v>#REF!</v>
      </c>
      <c r="I13" s="14" t="e">
        <f>#REF!+#REF!</f>
        <v>#REF!</v>
      </c>
      <c r="J13" s="14" t="e">
        <f>#REF!+#REF!</f>
        <v>#REF!</v>
      </c>
      <c r="K13" s="14" t="e">
        <f>#REF!+#REF!</f>
        <v>#REF!</v>
      </c>
      <c r="L13" s="14" t="e">
        <f>#REF!+#REF!</f>
        <v>#REF!</v>
      </c>
      <c r="M13" s="14" t="e">
        <f>#REF!+#REF!</f>
        <v>#REF!</v>
      </c>
      <c r="N13" s="14" t="e">
        <f>#REF!+#REF!</f>
        <v>#REF!</v>
      </c>
      <c r="O13" s="14" t="e">
        <f>#REF!+#REF!</f>
        <v>#REF!</v>
      </c>
      <c r="P13" s="14" t="e">
        <f>#REF!+#REF!</f>
        <v>#REF!</v>
      </c>
      <c r="Q13" s="14" t="e">
        <f>#REF!+#REF!</f>
        <v>#REF!</v>
      </c>
      <c r="R13" s="14" t="e">
        <f>#REF!+#REF!</f>
        <v>#REF!</v>
      </c>
      <c r="S13" s="14" t="e">
        <f t="shared" si="0"/>
        <v>#REF!</v>
      </c>
      <c r="T13" s="14"/>
    </row>
    <row r="14" spans="1:20" ht="17.5" customHeight="1">
      <c r="A14" s="22"/>
      <c r="B14" s="34"/>
      <c r="C14" s="14" t="s">
        <v>94</v>
      </c>
      <c r="D14" s="20" t="s">
        <v>16</v>
      </c>
      <c r="E14" s="20" t="s">
        <v>14</v>
      </c>
      <c r="F14" s="20"/>
      <c r="G14" s="14" t="e">
        <f>#REF!+#REF!</f>
        <v>#REF!</v>
      </c>
      <c r="H14" s="14" t="e">
        <f>#REF!+#REF!</f>
        <v>#REF!</v>
      </c>
      <c r="I14" s="14" t="e">
        <f>#REF!+#REF!</f>
        <v>#REF!</v>
      </c>
      <c r="J14" s="14" t="e">
        <f>#REF!+#REF!</f>
        <v>#REF!</v>
      </c>
      <c r="K14" s="14" t="e">
        <f>#REF!+#REF!</f>
        <v>#REF!</v>
      </c>
      <c r="L14" s="14" t="e">
        <f>#REF!+#REF!</f>
        <v>#REF!</v>
      </c>
      <c r="M14" s="14" t="e">
        <f>#REF!+#REF!</f>
        <v>#REF!</v>
      </c>
      <c r="N14" s="14" t="e">
        <f>#REF!+#REF!</f>
        <v>#REF!</v>
      </c>
      <c r="O14" s="14" t="e">
        <f>#REF!+#REF!</f>
        <v>#REF!</v>
      </c>
      <c r="P14" s="14" t="e">
        <f>#REF!+#REF!</f>
        <v>#REF!</v>
      </c>
      <c r="Q14" s="14" t="e">
        <f>#REF!+#REF!</f>
        <v>#REF!</v>
      </c>
      <c r="R14" s="14" t="e">
        <f>#REF!+#REF!</f>
        <v>#REF!</v>
      </c>
      <c r="S14" s="14" t="e">
        <f t="shared" si="0"/>
        <v>#REF!</v>
      </c>
      <c r="T14" s="14"/>
    </row>
    <row r="15" spans="1:20" ht="17.5" customHeight="1">
      <c r="A15" s="22"/>
      <c r="B15" s="34">
        <v>78363</v>
      </c>
      <c r="C15" s="14" t="s">
        <v>95</v>
      </c>
      <c r="D15" s="20" t="s">
        <v>16</v>
      </c>
      <c r="E15" s="20" t="s">
        <v>14</v>
      </c>
      <c r="F15" s="20"/>
      <c r="G15" s="14" t="e">
        <f>#REF!+#REF!</f>
        <v>#REF!</v>
      </c>
      <c r="H15" s="14" t="e">
        <f>#REF!+#REF!</f>
        <v>#REF!</v>
      </c>
      <c r="I15" s="14" t="e">
        <f>#REF!+#REF!</f>
        <v>#REF!</v>
      </c>
      <c r="J15" s="14" t="e">
        <f>#REF!+#REF!</f>
        <v>#REF!</v>
      </c>
      <c r="K15" s="14" t="e">
        <f>#REF!+#REF!</f>
        <v>#REF!</v>
      </c>
      <c r="L15" s="14" t="e">
        <f>#REF!+#REF!</f>
        <v>#REF!</v>
      </c>
      <c r="M15" s="14" t="e">
        <f>#REF!+#REF!</f>
        <v>#REF!</v>
      </c>
      <c r="N15" s="14" t="e">
        <f>#REF!+#REF!</f>
        <v>#REF!</v>
      </c>
      <c r="O15" s="14" t="e">
        <f>#REF!+#REF!</f>
        <v>#REF!</v>
      </c>
      <c r="P15" s="14" t="e">
        <f>#REF!+#REF!</f>
        <v>#REF!</v>
      </c>
      <c r="Q15" s="14" t="e">
        <f>#REF!+#REF!</f>
        <v>#REF!</v>
      </c>
      <c r="R15" s="14" t="e">
        <f>#REF!+#REF!</f>
        <v>#REF!</v>
      </c>
      <c r="S15" s="14" t="e">
        <f t="shared" si="0"/>
        <v>#REF!</v>
      </c>
      <c r="T15" s="14"/>
    </row>
    <row r="16" spans="1:20" ht="17.5" customHeight="1">
      <c r="A16" s="22"/>
      <c r="B16" s="34">
        <v>78364</v>
      </c>
      <c r="C16" s="14" t="s">
        <v>96</v>
      </c>
      <c r="D16" s="20" t="s">
        <v>16</v>
      </c>
      <c r="E16" s="20" t="s">
        <v>14</v>
      </c>
      <c r="F16" s="20"/>
      <c r="G16" s="14" t="e">
        <f>#REF!+#REF!</f>
        <v>#REF!</v>
      </c>
      <c r="H16" s="14" t="e">
        <f>#REF!+#REF!</f>
        <v>#REF!</v>
      </c>
      <c r="I16" s="14" t="e">
        <f>#REF!+#REF!</f>
        <v>#REF!</v>
      </c>
      <c r="J16" s="14" t="e">
        <f>#REF!+#REF!</f>
        <v>#REF!</v>
      </c>
      <c r="K16" s="14" t="e">
        <f>#REF!+#REF!</f>
        <v>#REF!</v>
      </c>
      <c r="L16" s="14" t="e">
        <f>#REF!+#REF!</f>
        <v>#REF!</v>
      </c>
      <c r="M16" s="14" t="e">
        <f>#REF!+#REF!</f>
        <v>#REF!</v>
      </c>
      <c r="N16" s="14" t="e">
        <f>#REF!+#REF!</f>
        <v>#REF!</v>
      </c>
      <c r="O16" s="14" t="e">
        <f>#REF!+#REF!</f>
        <v>#REF!</v>
      </c>
      <c r="P16" s="14" t="e">
        <f>#REF!+#REF!</f>
        <v>#REF!</v>
      </c>
      <c r="Q16" s="14" t="e">
        <f>#REF!+#REF!</f>
        <v>#REF!</v>
      </c>
      <c r="R16" s="14" t="e">
        <f>#REF!+#REF!</f>
        <v>#REF!</v>
      </c>
      <c r="S16" s="14" t="e">
        <f t="shared" si="0"/>
        <v>#REF!</v>
      </c>
      <c r="T16" s="14"/>
    </row>
    <row r="17" spans="1:20" ht="17.5" customHeight="1">
      <c r="A17" s="22"/>
      <c r="B17" s="34"/>
      <c r="C17" s="14" t="s">
        <v>24</v>
      </c>
      <c r="D17" s="20" t="s">
        <v>16</v>
      </c>
      <c r="E17" s="20" t="s">
        <v>14</v>
      </c>
      <c r="F17" s="20">
        <v>723300</v>
      </c>
      <c r="G17" s="14" t="e">
        <f>#REF!+#REF!</f>
        <v>#REF!</v>
      </c>
      <c r="H17" s="14" t="e">
        <f>#REF!+#REF!</f>
        <v>#REF!</v>
      </c>
      <c r="I17" s="14" t="e">
        <f>#REF!+#REF!</f>
        <v>#REF!</v>
      </c>
      <c r="J17" s="14" t="e">
        <f>#REF!+#REF!</f>
        <v>#REF!</v>
      </c>
      <c r="K17" s="14" t="e">
        <f>#REF!+#REF!</f>
        <v>#REF!</v>
      </c>
      <c r="L17" s="14" t="e">
        <f>#REF!+#REF!</f>
        <v>#REF!</v>
      </c>
      <c r="M17" s="14" t="e">
        <f>#REF!+#REF!</f>
        <v>#REF!</v>
      </c>
      <c r="N17" s="14" t="e">
        <f>#REF!+#REF!</f>
        <v>#REF!</v>
      </c>
      <c r="O17" s="14" t="e">
        <f>#REF!+#REF!</f>
        <v>#REF!</v>
      </c>
      <c r="P17" s="14" t="e">
        <f>#REF!+#REF!</f>
        <v>#REF!</v>
      </c>
      <c r="Q17" s="14" t="e">
        <f>#REF!+#REF!</f>
        <v>#REF!</v>
      </c>
      <c r="R17" s="14" t="e">
        <f>#REF!+#REF!</f>
        <v>#REF!</v>
      </c>
      <c r="S17" s="14" t="e">
        <f t="shared" si="0"/>
        <v>#REF!</v>
      </c>
      <c r="T17" s="14"/>
    </row>
    <row r="18" spans="1:20" ht="17.5" customHeight="1">
      <c r="A18" s="22"/>
      <c r="B18" s="34">
        <v>78431</v>
      </c>
      <c r="C18" s="14" t="s">
        <v>25</v>
      </c>
      <c r="D18" s="20" t="s">
        <v>16</v>
      </c>
      <c r="E18" s="20" t="s">
        <v>14</v>
      </c>
      <c r="F18" s="20">
        <v>761000</v>
      </c>
      <c r="G18" s="14" t="e">
        <f>#REF!+#REF!</f>
        <v>#REF!</v>
      </c>
      <c r="H18" s="14" t="e">
        <f>#REF!+#REF!</f>
        <v>#REF!</v>
      </c>
      <c r="I18" s="14" t="e">
        <f>#REF!+#REF!</f>
        <v>#REF!</v>
      </c>
      <c r="J18" s="14" t="e">
        <f>#REF!+#REF!</f>
        <v>#REF!</v>
      </c>
      <c r="K18" s="14" t="e">
        <f>#REF!+#REF!</f>
        <v>#REF!</v>
      </c>
      <c r="L18" s="14" t="e">
        <f>#REF!+#REF!</f>
        <v>#REF!</v>
      </c>
      <c r="M18" s="14" t="e">
        <f>#REF!+#REF!</f>
        <v>#REF!</v>
      </c>
      <c r="N18" s="14" t="e">
        <f>#REF!+#REF!</f>
        <v>#REF!</v>
      </c>
      <c r="O18" s="14" t="e">
        <f>#REF!+#REF!</f>
        <v>#REF!</v>
      </c>
      <c r="P18" s="14" t="e">
        <f>#REF!+#REF!</f>
        <v>#REF!</v>
      </c>
      <c r="Q18" s="14" t="e">
        <f>#REF!+#REF!</f>
        <v>#REF!</v>
      </c>
      <c r="R18" s="14" t="e">
        <f>#REF!+#REF!</f>
        <v>#REF!</v>
      </c>
      <c r="S18" s="14" t="e">
        <f t="shared" si="0"/>
        <v>#REF!</v>
      </c>
      <c r="T18" s="14"/>
    </row>
    <row r="19" spans="1:20" ht="17.5" customHeight="1">
      <c r="A19" s="22"/>
      <c r="B19" s="34">
        <v>78461</v>
      </c>
      <c r="C19" s="14" t="s">
        <v>26</v>
      </c>
      <c r="D19" s="20" t="s">
        <v>16</v>
      </c>
      <c r="E19" s="20" t="s">
        <v>14</v>
      </c>
      <c r="F19" s="20">
        <v>761000</v>
      </c>
      <c r="G19" s="14" t="e">
        <f>#REF!+#REF!</f>
        <v>#REF!</v>
      </c>
      <c r="H19" s="14" t="e">
        <f>#REF!+#REF!</f>
        <v>#REF!</v>
      </c>
      <c r="I19" s="14" t="e">
        <f>#REF!+#REF!</f>
        <v>#REF!</v>
      </c>
      <c r="J19" s="14" t="e">
        <f>#REF!+#REF!</f>
        <v>#REF!</v>
      </c>
      <c r="K19" s="14" t="e">
        <f>#REF!+#REF!</f>
        <v>#REF!</v>
      </c>
      <c r="L19" s="14" t="e">
        <f>#REF!+#REF!</f>
        <v>#REF!</v>
      </c>
      <c r="M19" s="14" t="e">
        <f>#REF!+#REF!</f>
        <v>#REF!</v>
      </c>
      <c r="N19" s="14" t="e">
        <f>#REF!+#REF!</f>
        <v>#REF!</v>
      </c>
      <c r="O19" s="14" t="e">
        <f>#REF!+#REF!</f>
        <v>#REF!</v>
      </c>
      <c r="P19" s="14" t="e">
        <f>#REF!+#REF!</f>
        <v>#REF!</v>
      </c>
      <c r="Q19" s="14" t="e">
        <f>#REF!+#REF!</f>
        <v>#REF!</v>
      </c>
      <c r="R19" s="14" t="e">
        <f>#REF!+#REF!</f>
        <v>#REF!</v>
      </c>
      <c r="S19" s="14" t="e">
        <f t="shared" si="0"/>
        <v>#REF!</v>
      </c>
      <c r="T19" s="14"/>
    </row>
    <row r="20" spans="1:20" ht="17.5" customHeight="1">
      <c r="A20" s="22"/>
      <c r="B20" s="34">
        <v>78462</v>
      </c>
      <c r="C20" s="14" t="s">
        <v>27</v>
      </c>
      <c r="D20" s="20" t="s">
        <v>16</v>
      </c>
      <c r="E20" s="20" t="s">
        <v>14</v>
      </c>
      <c r="F20" s="20"/>
      <c r="G20" s="14" t="e">
        <f>#REF!+#REF!</f>
        <v>#REF!</v>
      </c>
      <c r="H20" s="14" t="e">
        <f>#REF!+#REF!</f>
        <v>#REF!</v>
      </c>
      <c r="I20" s="14" t="e">
        <f>#REF!+#REF!</f>
        <v>#REF!</v>
      </c>
      <c r="J20" s="14" t="e">
        <f>#REF!+#REF!</f>
        <v>#REF!</v>
      </c>
      <c r="K20" s="14" t="e">
        <f>#REF!+#REF!</f>
        <v>#REF!</v>
      </c>
      <c r="L20" s="14" t="e">
        <f>#REF!+#REF!</f>
        <v>#REF!</v>
      </c>
      <c r="M20" s="14" t="e">
        <f>#REF!+#REF!</f>
        <v>#REF!</v>
      </c>
      <c r="N20" s="14" t="e">
        <f>#REF!+#REF!</f>
        <v>#REF!</v>
      </c>
      <c r="O20" s="14" t="e">
        <f>#REF!+#REF!</f>
        <v>#REF!</v>
      </c>
      <c r="P20" s="14" t="e">
        <f>#REF!+#REF!</f>
        <v>#REF!</v>
      </c>
      <c r="Q20" s="14" t="e">
        <f>#REF!+#REF!</f>
        <v>#REF!</v>
      </c>
      <c r="R20" s="14" t="e">
        <f>#REF!+#REF!</f>
        <v>#REF!</v>
      </c>
      <c r="S20" s="14" t="e">
        <f t="shared" si="0"/>
        <v>#REF!</v>
      </c>
      <c r="T20" s="14"/>
    </row>
    <row r="21" spans="1:20" ht="17.5" customHeight="1">
      <c r="A21" s="22"/>
      <c r="B21" s="34">
        <v>78463</v>
      </c>
      <c r="C21" s="14" t="s">
        <v>28</v>
      </c>
      <c r="D21" s="20" t="s">
        <v>16</v>
      </c>
      <c r="E21" s="20" t="s">
        <v>14</v>
      </c>
      <c r="F21" s="20"/>
      <c r="G21" s="14" t="e">
        <f>#REF!+#REF!</f>
        <v>#REF!</v>
      </c>
      <c r="H21" s="14" t="e">
        <f>#REF!+#REF!</f>
        <v>#REF!</v>
      </c>
      <c r="I21" s="14" t="e">
        <f>#REF!+#REF!</f>
        <v>#REF!</v>
      </c>
      <c r="J21" s="14" t="e">
        <f>#REF!+#REF!</f>
        <v>#REF!</v>
      </c>
      <c r="K21" s="14" t="e">
        <f>#REF!+#REF!</f>
        <v>#REF!</v>
      </c>
      <c r="L21" s="14" t="e">
        <f>#REF!+#REF!</f>
        <v>#REF!</v>
      </c>
      <c r="M21" s="14" t="e">
        <f>#REF!+#REF!</f>
        <v>#REF!</v>
      </c>
      <c r="N21" s="14" t="e">
        <f>#REF!+#REF!</f>
        <v>#REF!</v>
      </c>
      <c r="O21" s="14" t="e">
        <f>#REF!+#REF!</f>
        <v>#REF!</v>
      </c>
      <c r="P21" s="14" t="e">
        <f>#REF!+#REF!</f>
        <v>#REF!</v>
      </c>
      <c r="Q21" s="14" t="e">
        <f>#REF!+#REF!</f>
        <v>#REF!</v>
      </c>
      <c r="R21" s="14" t="e">
        <f>#REF!+#REF!</f>
        <v>#REF!</v>
      </c>
      <c r="S21" s="14" t="e">
        <f t="shared" si="0"/>
        <v>#REF!</v>
      </c>
      <c r="T21" s="14"/>
    </row>
    <row r="22" spans="1:20" ht="17.5" customHeight="1">
      <c r="A22" s="22"/>
      <c r="B22" s="34">
        <v>78472</v>
      </c>
      <c r="C22" s="14" t="s">
        <v>29</v>
      </c>
      <c r="D22" s="20" t="s">
        <v>16</v>
      </c>
      <c r="E22" s="20" t="s">
        <v>14</v>
      </c>
      <c r="F22" s="20"/>
      <c r="G22" s="14" t="e">
        <f>#REF!+#REF!</f>
        <v>#REF!</v>
      </c>
      <c r="H22" s="14" t="e">
        <f>#REF!+#REF!</f>
        <v>#REF!</v>
      </c>
      <c r="I22" s="14" t="e">
        <f>#REF!+#REF!</f>
        <v>#REF!</v>
      </c>
      <c r="J22" s="14" t="e">
        <f>#REF!+#REF!</f>
        <v>#REF!</v>
      </c>
      <c r="K22" s="14" t="e">
        <f>#REF!+#REF!</f>
        <v>#REF!</v>
      </c>
      <c r="L22" s="14" t="e">
        <f>#REF!+#REF!</f>
        <v>#REF!</v>
      </c>
      <c r="M22" s="14" t="e">
        <f>#REF!+#REF!</f>
        <v>#REF!</v>
      </c>
      <c r="N22" s="14" t="e">
        <f>#REF!+#REF!</f>
        <v>#REF!</v>
      </c>
      <c r="O22" s="14" t="e">
        <f>#REF!+#REF!</f>
        <v>#REF!</v>
      </c>
      <c r="P22" s="14" t="e">
        <f>#REF!+#REF!</f>
        <v>#REF!</v>
      </c>
      <c r="Q22" s="14" t="e">
        <f>#REF!+#REF!</f>
        <v>#REF!</v>
      </c>
      <c r="R22" s="14" t="e">
        <f>#REF!+#REF!</f>
        <v>#REF!</v>
      </c>
      <c r="S22" s="14" t="e">
        <f t="shared" si="0"/>
        <v>#REF!</v>
      </c>
      <c r="T22" s="14"/>
    </row>
    <row r="23" spans="1:20" ht="17.5" customHeight="1">
      <c r="A23" s="22"/>
      <c r="B23" s="34">
        <v>78473</v>
      </c>
      <c r="C23" s="14" t="s">
        <v>30</v>
      </c>
      <c r="D23" s="20" t="s">
        <v>16</v>
      </c>
      <c r="E23" s="20" t="s">
        <v>14</v>
      </c>
      <c r="F23" s="20"/>
      <c r="G23" s="14" t="e">
        <f>#REF!+#REF!</f>
        <v>#REF!</v>
      </c>
      <c r="H23" s="14" t="e">
        <f>#REF!+#REF!</f>
        <v>#REF!</v>
      </c>
      <c r="I23" s="14" t="e">
        <f>#REF!+#REF!</f>
        <v>#REF!</v>
      </c>
      <c r="J23" s="14" t="e">
        <f>#REF!+#REF!</f>
        <v>#REF!</v>
      </c>
      <c r="K23" s="14" t="e">
        <f>#REF!+#REF!</f>
        <v>#REF!</v>
      </c>
      <c r="L23" s="14" t="e">
        <f>#REF!+#REF!</f>
        <v>#REF!</v>
      </c>
      <c r="M23" s="14" t="e">
        <f>#REF!+#REF!</f>
        <v>#REF!</v>
      </c>
      <c r="N23" s="14" t="e">
        <f>#REF!+#REF!</f>
        <v>#REF!</v>
      </c>
      <c r="O23" s="14" t="e">
        <f>#REF!+#REF!</f>
        <v>#REF!</v>
      </c>
      <c r="P23" s="14" t="e">
        <f>#REF!+#REF!</f>
        <v>#REF!</v>
      </c>
      <c r="Q23" s="14" t="e">
        <f>#REF!+#REF!</f>
        <v>#REF!</v>
      </c>
      <c r="R23" s="14" t="e">
        <f>#REF!+#REF!</f>
        <v>#REF!</v>
      </c>
      <c r="S23" s="14" t="e">
        <f t="shared" si="0"/>
        <v>#REF!</v>
      </c>
      <c r="T23" s="14"/>
    </row>
    <row r="24" spans="1:20" ht="17.5" customHeight="1">
      <c r="A24" s="22"/>
      <c r="B24" s="34">
        <v>78474</v>
      </c>
      <c r="C24" s="14" t="s">
        <v>31</v>
      </c>
      <c r="D24" s="20" t="s">
        <v>16</v>
      </c>
      <c r="E24" s="20" t="s">
        <v>14</v>
      </c>
      <c r="F24" s="20"/>
      <c r="G24" s="14" t="e">
        <f>#REF!+#REF!</f>
        <v>#REF!</v>
      </c>
      <c r="H24" s="14" t="e">
        <f>#REF!+#REF!</f>
        <v>#REF!</v>
      </c>
      <c r="I24" s="14" t="e">
        <f>#REF!+#REF!</f>
        <v>#REF!</v>
      </c>
      <c r="J24" s="14" t="e">
        <f>#REF!+#REF!</f>
        <v>#REF!</v>
      </c>
      <c r="K24" s="14" t="e">
        <f>#REF!+#REF!</f>
        <v>#REF!</v>
      </c>
      <c r="L24" s="14" t="e">
        <f>#REF!+#REF!</f>
        <v>#REF!</v>
      </c>
      <c r="M24" s="14" t="e">
        <f>#REF!+#REF!</f>
        <v>#REF!</v>
      </c>
      <c r="N24" s="14" t="e">
        <f>#REF!+#REF!</f>
        <v>#REF!</v>
      </c>
      <c r="O24" s="14" t="e">
        <f>#REF!+#REF!</f>
        <v>#REF!</v>
      </c>
      <c r="P24" s="14" t="e">
        <f>#REF!+#REF!</f>
        <v>#REF!</v>
      </c>
      <c r="Q24" s="14" t="e">
        <f>#REF!+#REF!</f>
        <v>#REF!</v>
      </c>
      <c r="R24" s="14" t="e">
        <f>#REF!+#REF!</f>
        <v>#REF!</v>
      </c>
      <c r="S24" s="14" t="e">
        <f t="shared" si="0"/>
        <v>#REF!</v>
      </c>
      <c r="T24" s="14"/>
    </row>
    <row r="25" spans="1:20" ht="17.5" customHeight="1">
      <c r="A25" s="22"/>
      <c r="B25" s="34">
        <v>78481</v>
      </c>
      <c r="C25" s="14" t="s">
        <v>32</v>
      </c>
      <c r="D25" s="20" t="s">
        <v>16</v>
      </c>
      <c r="E25" s="20" t="s">
        <v>14</v>
      </c>
      <c r="F25" s="20"/>
      <c r="G25" s="14" t="e">
        <f>#REF!+#REF!</f>
        <v>#REF!</v>
      </c>
      <c r="H25" s="14" t="e">
        <f>#REF!+#REF!</f>
        <v>#REF!</v>
      </c>
      <c r="I25" s="14" t="e">
        <f>#REF!+#REF!</f>
        <v>#REF!</v>
      </c>
      <c r="J25" s="14" t="e">
        <f>#REF!+#REF!</f>
        <v>#REF!</v>
      </c>
      <c r="K25" s="14" t="e">
        <f>#REF!+#REF!</f>
        <v>#REF!</v>
      </c>
      <c r="L25" s="14" t="e">
        <f>#REF!+#REF!</f>
        <v>#REF!</v>
      </c>
      <c r="M25" s="14" t="e">
        <f>#REF!+#REF!</f>
        <v>#REF!</v>
      </c>
      <c r="N25" s="14" t="e">
        <f>#REF!+#REF!</f>
        <v>#REF!</v>
      </c>
      <c r="O25" s="14" t="e">
        <f>#REF!+#REF!</f>
        <v>#REF!</v>
      </c>
      <c r="P25" s="14" t="e">
        <f>#REF!+#REF!</f>
        <v>#REF!</v>
      </c>
      <c r="Q25" s="14" t="e">
        <f>#REF!+#REF!</f>
        <v>#REF!</v>
      </c>
      <c r="R25" s="14" t="e">
        <f>#REF!+#REF!</f>
        <v>#REF!</v>
      </c>
      <c r="S25" s="14" t="e">
        <f t="shared" si="0"/>
        <v>#REF!</v>
      </c>
      <c r="T25" s="14"/>
    </row>
    <row r="26" spans="1:20" ht="17.5" customHeight="1">
      <c r="A26" s="22"/>
      <c r="B26" s="34">
        <v>78491</v>
      </c>
      <c r="C26" s="14" t="s">
        <v>33</v>
      </c>
      <c r="D26" s="20" t="s">
        <v>16</v>
      </c>
      <c r="E26" s="20" t="s">
        <v>14</v>
      </c>
      <c r="F26" s="20"/>
      <c r="G26" s="14" t="e">
        <f>#REF!+#REF!</f>
        <v>#REF!</v>
      </c>
      <c r="H26" s="14" t="e">
        <f>#REF!+#REF!</f>
        <v>#REF!</v>
      </c>
      <c r="I26" s="14" t="e">
        <f>#REF!+#REF!</f>
        <v>#REF!</v>
      </c>
      <c r="J26" s="14" t="e">
        <f>#REF!+#REF!</f>
        <v>#REF!</v>
      </c>
      <c r="K26" s="14" t="e">
        <f>#REF!+#REF!</f>
        <v>#REF!</v>
      </c>
      <c r="L26" s="14" t="e">
        <f>#REF!+#REF!</f>
        <v>#REF!</v>
      </c>
      <c r="M26" s="14" t="e">
        <f>#REF!+#REF!</f>
        <v>#REF!</v>
      </c>
      <c r="N26" s="14" t="e">
        <f>#REF!+#REF!</f>
        <v>#REF!</v>
      </c>
      <c r="O26" s="14" t="e">
        <f>#REF!+#REF!</f>
        <v>#REF!</v>
      </c>
      <c r="P26" s="14" t="e">
        <f>#REF!+#REF!</f>
        <v>#REF!</v>
      </c>
      <c r="Q26" s="14" t="e">
        <f>#REF!+#REF!</f>
        <v>#REF!</v>
      </c>
      <c r="R26" s="14" t="e">
        <f>#REF!+#REF!</f>
        <v>#REF!</v>
      </c>
      <c r="S26" s="14" t="e">
        <f t="shared" si="0"/>
        <v>#REF!</v>
      </c>
      <c r="T26" s="14"/>
    </row>
    <row r="27" spans="1:20" ht="17.5" customHeight="1">
      <c r="A27" s="22"/>
      <c r="B27" s="34">
        <v>78494</v>
      </c>
      <c r="C27" s="14" t="s">
        <v>34</v>
      </c>
      <c r="D27" s="20" t="s">
        <v>16</v>
      </c>
      <c r="E27" s="20" t="s">
        <v>14</v>
      </c>
      <c r="F27" s="20"/>
      <c r="G27" s="14" t="e">
        <f>#REF!+#REF!</f>
        <v>#REF!</v>
      </c>
      <c r="H27" s="14" t="e">
        <f>#REF!+#REF!</f>
        <v>#REF!</v>
      </c>
      <c r="I27" s="14" t="e">
        <f>#REF!+#REF!</f>
        <v>#REF!</v>
      </c>
      <c r="J27" s="14" t="e">
        <f>#REF!+#REF!</f>
        <v>#REF!</v>
      </c>
      <c r="K27" s="14" t="e">
        <f>#REF!+#REF!</f>
        <v>#REF!</v>
      </c>
      <c r="L27" s="14" t="e">
        <f>#REF!+#REF!</f>
        <v>#REF!</v>
      </c>
      <c r="M27" s="14" t="e">
        <f>#REF!+#REF!</f>
        <v>#REF!</v>
      </c>
      <c r="N27" s="14" t="e">
        <f>#REF!+#REF!</f>
        <v>#REF!</v>
      </c>
      <c r="O27" s="14" t="e">
        <f>#REF!+#REF!</f>
        <v>#REF!</v>
      </c>
      <c r="P27" s="14" t="e">
        <f>#REF!+#REF!</f>
        <v>#REF!</v>
      </c>
      <c r="Q27" s="14" t="e">
        <f>#REF!+#REF!</f>
        <v>#REF!</v>
      </c>
      <c r="R27" s="14" t="e">
        <f>#REF!+#REF!</f>
        <v>#REF!</v>
      </c>
      <c r="S27" s="14" t="e">
        <f t="shared" si="0"/>
        <v>#REF!</v>
      </c>
      <c r="T27" s="14"/>
    </row>
    <row r="28" spans="1:20" ht="17.5" customHeight="1">
      <c r="A28" s="22"/>
      <c r="B28" s="34">
        <v>78499</v>
      </c>
      <c r="C28" s="14" t="s">
        <v>35</v>
      </c>
      <c r="D28" s="20" t="s">
        <v>16</v>
      </c>
      <c r="E28" s="20" t="s">
        <v>14</v>
      </c>
      <c r="F28" s="20"/>
      <c r="G28" s="14" t="e">
        <f>#REF!+#REF!</f>
        <v>#REF!</v>
      </c>
      <c r="H28" s="14" t="e">
        <f>#REF!+#REF!</f>
        <v>#REF!</v>
      </c>
      <c r="I28" s="14" t="e">
        <f>#REF!+#REF!</f>
        <v>#REF!</v>
      </c>
      <c r="J28" s="14" t="e">
        <f>#REF!+#REF!</f>
        <v>#REF!</v>
      </c>
      <c r="K28" s="14" t="e">
        <f>#REF!+#REF!</f>
        <v>#REF!</v>
      </c>
      <c r="L28" s="14" t="e">
        <f>#REF!+#REF!</f>
        <v>#REF!</v>
      </c>
      <c r="M28" s="14" t="e">
        <f>#REF!+#REF!</f>
        <v>#REF!</v>
      </c>
      <c r="N28" s="14" t="e">
        <f>#REF!+#REF!</f>
        <v>#REF!</v>
      </c>
      <c r="O28" s="14" t="e">
        <f>#REF!+#REF!</f>
        <v>#REF!</v>
      </c>
      <c r="P28" s="14" t="e">
        <f>#REF!+#REF!</f>
        <v>#REF!</v>
      </c>
      <c r="Q28" s="14" t="e">
        <f>#REF!+#REF!</f>
        <v>#REF!</v>
      </c>
      <c r="R28" s="14" t="e">
        <f>#REF!+#REF!</f>
        <v>#REF!</v>
      </c>
      <c r="S28" s="14" t="e">
        <f t="shared" si="0"/>
        <v>#REF!</v>
      </c>
      <c r="T28" s="14"/>
    </row>
    <row r="29" spans="1:20" ht="17.5" customHeight="1">
      <c r="A29" s="22"/>
      <c r="B29" s="34">
        <v>78508</v>
      </c>
      <c r="C29" s="14" t="s">
        <v>171</v>
      </c>
      <c r="D29" s="20" t="s">
        <v>16</v>
      </c>
      <c r="E29" s="20" t="s">
        <v>14</v>
      </c>
      <c r="F29" s="20">
        <v>791500</v>
      </c>
      <c r="G29" s="14" t="e">
        <f>#REF!+#REF!</f>
        <v>#REF!</v>
      </c>
      <c r="H29" s="14" t="e">
        <f>#REF!+#REF!</f>
        <v>#REF!</v>
      </c>
      <c r="I29" s="14" t="e">
        <f>#REF!+#REF!</f>
        <v>#REF!</v>
      </c>
      <c r="J29" s="14" t="e">
        <f>#REF!+#REF!</f>
        <v>#REF!</v>
      </c>
      <c r="K29" s="14" t="e">
        <f>#REF!+#REF!</f>
        <v>#REF!</v>
      </c>
      <c r="L29" s="14" t="e">
        <f>#REF!+#REF!</f>
        <v>#REF!</v>
      </c>
      <c r="M29" s="14" t="e">
        <f>#REF!+#REF!</f>
        <v>#REF!</v>
      </c>
      <c r="N29" s="14" t="e">
        <f>#REF!+#REF!</f>
        <v>#REF!</v>
      </c>
      <c r="O29" s="14" t="e">
        <f>#REF!+#REF!</f>
        <v>#REF!</v>
      </c>
      <c r="P29" s="14" t="e">
        <f>#REF!+#REF!</f>
        <v>#REF!</v>
      </c>
      <c r="Q29" s="14" t="e">
        <f>#REF!+#REF!</f>
        <v>#REF!</v>
      </c>
      <c r="R29" s="14" t="e">
        <f>#REF!+#REF!</f>
        <v>#REF!</v>
      </c>
      <c r="S29" s="14" t="e">
        <f t="shared" si="0"/>
        <v>#REF!</v>
      </c>
      <c r="T29" s="14"/>
    </row>
    <row r="30" spans="1:20" ht="17.5" customHeight="1">
      <c r="A30" s="22"/>
      <c r="B30" s="34">
        <v>78510</v>
      </c>
      <c r="C30" s="14" t="s">
        <v>36</v>
      </c>
      <c r="D30" s="20" t="s">
        <v>16</v>
      </c>
      <c r="E30" s="20" t="s">
        <v>14</v>
      </c>
      <c r="F30" s="20"/>
      <c r="G30" s="14" t="e">
        <f>#REF!+#REF!</f>
        <v>#REF!</v>
      </c>
      <c r="H30" s="14" t="e">
        <f>#REF!+#REF!</f>
        <v>#REF!</v>
      </c>
      <c r="I30" s="14" t="e">
        <f>#REF!+#REF!</f>
        <v>#REF!</v>
      </c>
      <c r="J30" s="14" t="e">
        <f>#REF!+#REF!</f>
        <v>#REF!</v>
      </c>
      <c r="K30" s="14" t="e">
        <f>#REF!+#REF!</f>
        <v>#REF!</v>
      </c>
      <c r="L30" s="14" t="e">
        <f>#REF!+#REF!</f>
        <v>#REF!</v>
      </c>
      <c r="M30" s="14" t="e">
        <f>#REF!+#REF!</f>
        <v>#REF!</v>
      </c>
      <c r="N30" s="14" t="e">
        <f>#REF!+#REF!</f>
        <v>#REF!</v>
      </c>
      <c r="O30" s="14" t="e">
        <f>#REF!+#REF!</f>
        <v>#REF!</v>
      </c>
      <c r="P30" s="14" t="e">
        <f>#REF!+#REF!</f>
        <v>#REF!</v>
      </c>
      <c r="Q30" s="14" t="e">
        <f>#REF!+#REF!</f>
        <v>#REF!</v>
      </c>
      <c r="R30" s="14" t="e">
        <f>#REF!+#REF!</f>
        <v>#REF!</v>
      </c>
      <c r="S30" s="14" t="e">
        <f t="shared" si="0"/>
        <v>#REF!</v>
      </c>
      <c r="T30" s="14"/>
    </row>
    <row r="31" spans="1:20" ht="17.5" customHeight="1">
      <c r="A31" s="22"/>
      <c r="B31" s="34">
        <v>78511</v>
      </c>
      <c r="C31" s="14" t="s">
        <v>37</v>
      </c>
      <c r="D31" s="20" t="s">
        <v>16</v>
      </c>
      <c r="E31" s="20" t="s">
        <v>14</v>
      </c>
      <c r="F31" s="20">
        <v>794000</v>
      </c>
      <c r="G31" s="14" t="e">
        <f>#REF!+#REF!</f>
        <v>#REF!</v>
      </c>
      <c r="H31" s="14" t="e">
        <f>#REF!+#REF!</f>
        <v>#REF!</v>
      </c>
      <c r="I31" s="14" t="e">
        <f>#REF!+#REF!</f>
        <v>#REF!</v>
      </c>
      <c r="J31" s="14" t="e">
        <f>#REF!+#REF!</f>
        <v>#REF!</v>
      </c>
      <c r="K31" s="14" t="e">
        <f>#REF!+#REF!</f>
        <v>#REF!</v>
      </c>
      <c r="L31" s="14" t="e">
        <f>#REF!+#REF!</f>
        <v>#REF!</v>
      </c>
      <c r="M31" s="14" t="e">
        <f>#REF!+#REF!</f>
        <v>#REF!</v>
      </c>
      <c r="N31" s="14" t="e">
        <f>#REF!+#REF!</f>
        <v>#REF!</v>
      </c>
      <c r="O31" s="14" t="e">
        <f>#REF!+#REF!</f>
        <v>#REF!</v>
      </c>
      <c r="P31" s="14" t="e">
        <f>#REF!+#REF!</f>
        <v>#REF!</v>
      </c>
      <c r="Q31" s="14" t="e">
        <f>#REF!+#REF!</f>
        <v>#REF!</v>
      </c>
      <c r="R31" s="14" t="e">
        <f>#REF!+#REF!</f>
        <v>#REF!</v>
      </c>
      <c r="S31" s="14" t="e">
        <f t="shared" si="0"/>
        <v>#REF!</v>
      </c>
      <c r="T31" s="14"/>
    </row>
    <row r="32" spans="1:20" ht="17.5" customHeight="1">
      <c r="A32" s="22"/>
      <c r="B32" s="34">
        <v>78512</v>
      </c>
      <c r="C32" s="14" t="s">
        <v>38</v>
      </c>
      <c r="D32" s="20" t="s">
        <v>16</v>
      </c>
      <c r="E32" s="20" t="s">
        <v>14</v>
      </c>
      <c r="F32" s="20"/>
      <c r="G32" s="14" t="e">
        <f>#REF!+#REF!</f>
        <v>#REF!</v>
      </c>
      <c r="H32" s="14" t="e">
        <f>#REF!+#REF!</f>
        <v>#REF!</v>
      </c>
      <c r="I32" s="14" t="e">
        <f>#REF!+#REF!</f>
        <v>#REF!</v>
      </c>
      <c r="J32" s="14" t="e">
        <f>#REF!+#REF!</f>
        <v>#REF!</v>
      </c>
      <c r="K32" s="14" t="e">
        <f>#REF!+#REF!</f>
        <v>#REF!</v>
      </c>
      <c r="L32" s="14" t="e">
        <f>#REF!+#REF!</f>
        <v>#REF!</v>
      </c>
      <c r="M32" s="14" t="e">
        <f>#REF!+#REF!</f>
        <v>#REF!</v>
      </c>
      <c r="N32" s="14" t="e">
        <f>#REF!+#REF!</f>
        <v>#REF!</v>
      </c>
      <c r="O32" s="14" t="e">
        <f>#REF!+#REF!</f>
        <v>#REF!</v>
      </c>
      <c r="P32" s="14" t="e">
        <f>#REF!+#REF!</f>
        <v>#REF!</v>
      </c>
      <c r="Q32" s="14" t="e">
        <f>#REF!+#REF!</f>
        <v>#REF!</v>
      </c>
      <c r="R32" s="14" t="e">
        <f>#REF!+#REF!</f>
        <v>#REF!</v>
      </c>
      <c r="S32" s="14" t="e">
        <f t="shared" si="0"/>
        <v>#REF!</v>
      </c>
      <c r="T32" s="14"/>
    </row>
    <row r="33" spans="1:20" ht="17.5" customHeight="1">
      <c r="A33" s="22"/>
      <c r="B33" s="34">
        <v>78513</v>
      </c>
      <c r="C33" s="14" t="s">
        <v>39</v>
      </c>
      <c r="D33" s="20" t="s">
        <v>16</v>
      </c>
      <c r="E33" s="20" t="s">
        <v>14</v>
      </c>
      <c r="F33" s="20"/>
      <c r="G33" s="14" t="e">
        <f>#REF!+#REF!</f>
        <v>#REF!</v>
      </c>
      <c r="H33" s="14" t="e">
        <f>#REF!+#REF!</f>
        <v>#REF!</v>
      </c>
      <c r="I33" s="14" t="e">
        <f>#REF!+#REF!</f>
        <v>#REF!</v>
      </c>
      <c r="J33" s="14" t="e">
        <f>#REF!+#REF!</f>
        <v>#REF!</v>
      </c>
      <c r="K33" s="14" t="e">
        <f>#REF!+#REF!</f>
        <v>#REF!</v>
      </c>
      <c r="L33" s="14" t="e">
        <f>#REF!+#REF!</f>
        <v>#REF!</v>
      </c>
      <c r="M33" s="14" t="e">
        <f>#REF!+#REF!</f>
        <v>#REF!</v>
      </c>
      <c r="N33" s="14" t="e">
        <f>#REF!+#REF!</f>
        <v>#REF!</v>
      </c>
      <c r="O33" s="14" t="e">
        <f>#REF!+#REF!</f>
        <v>#REF!</v>
      </c>
      <c r="P33" s="14" t="e">
        <f>#REF!+#REF!</f>
        <v>#REF!</v>
      </c>
      <c r="Q33" s="14" t="e">
        <f>#REF!+#REF!</f>
        <v>#REF!</v>
      </c>
      <c r="R33" s="14" t="e">
        <f>#REF!+#REF!</f>
        <v>#REF!</v>
      </c>
      <c r="S33" s="14" t="e">
        <f t="shared" si="0"/>
        <v>#REF!</v>
      </c>
      <c r="T33" s="14"/>
    </row>
    <row r="34" spans="1:20" ht="17.5" customHeight="1">
      <c r="A34" s="22"/>
      <c r="B34" s="34">
        <v>78521</v>
      </c>
      <c r="C34" s="14" t="s">
        <v>40</v>
      </c>
      <c r="D34" s="20" t="s">
        <v>16</v>
      </c>
      <c r="E34" s="20" t="s">
        <v>14</v>
      </c>
      <c r="F34" s="20"/>
      <c r="G34" s="14" t="e">
        <f>#REF!+#REF!</f>
        <v>#REF!</v>
      </c>
      <c r="H34" s="14" t="e">
        <f>#REF!+#REF!</f>
        <v>#REF!</v>
      </c>
      <c r="I34" s="14" t="e">
        <f>#REF!+#REF!</f>
        <v>#REF!</v>
      </c>
      <c r="J34" s="14" t="e">
        <f>#REF!+#REF!</f>
        <v>#REF!</v>
      </c>
      <c r="K34" s="14" t="e">
        <f>#REF!+#REF!</f>
        <v>#REF!</v>
      </c>
      <c r="L34" s="14" t="e">
        <f>#REF!+#REF!</f>
        <v>#REF!</v>
      </c>
      <c r="M34" s="14" t="e">
        <f>#REF!+#REF!</f>
        <v>#REF!</v>
      </c>
      <c r="N34" s="14" t="e">
        <f>#REF!+#REF!</f>
        <v>#REF!</v>
      </c>
      <c r="O34" s="14" t="e">
        <f>#REF!+#REF!</f>
        <v>#REF!</v>
      </c>
      <c r="P34" s="14" t="e">
        <f>#REF!+#REF!</f>
        <v>#REF!</v>
      </c>
      <c r="Q34" s="14" t="e">
        <f>#REF!+#REF!</f>
        <v>#REF!</v>
      </c>
      <c r="R34" s="14" t="e">
        <f>#REF!+#REF!</f>
        <v>#REF!</v>
      </c>
      <c r="S34" s="14" t="e">
        <f t="shared" si="0"/>
        <v>#REF!</v>
      </c>
      <c r="T34" s="14"/>
    </row>
    <row r="35" spans="1:20" ht="17.5" customHeight="1">
      <c r="A35" s="22"/>
      <c r="B35" s="34">
        <v>78522</v>
      </c>
      <c r="C35" s="14" t="s">
        <v>41</v>
      </c>
      <c r="D35" s="20" t="s">
        <v>16</v>
      </c>
      <c r="E35" s="20" t="s">
        <v>14</v>
      </c>
      <c r="F35" s="20"/>
      <c r="G35" s="14" t="e">
        <f>#REF!+#REF!</f>
        <v>#REF!</v>
      </c>
      <c r="H35" s="14" t="e">
        <f>#REF!+#REF!</f>
        <v>#REF!</v>
      </c>
      <c r="I35" s="14" t="e">
        <f>#REF!+#REF!</f>
        <v>#REF!</v>
      </c>
      <c r="J35" s="14" t="e">
        <f>#REF!+#REF!</f>
        <v>#REF!</v>
      </c>
      <c r="K35" s="14" t="e">
        <f>#REF!+#REF!</f>
        <v>#REF!</v>
      </c>
      <c r="L35" s="14" t="e">
        <f>#REF!+#REF!</f>
        <v>#REF!</v>
      </c>
      <c r="M35" s="14" t="e">
        <f>#REF!+#REF!</f>
        <v>#REF!</v>
      </c>
      <c r="N35" s="14" t="e">
        <f>#REF!+#REF!</f>
        <v>#REF!</v>
      </c>
      <c r="O35" s="14" t="e">
        <f>#REF!+#REF!</f>
        <v>#REF!</v>
      </c>
      <c r="P35" s="14" t="e">
        <f>#REF!+#REF!</f>
        <v>#REF!</v>
      </c>
      <c r="Q35" s="14" t="e">
        <f>#REF!+#REF!</f>
        <v>#REF!</v>
      </c>
      <c r="R35" s="14" t="e">
        <f>#REF!+#REF!</f>
        <v>#REF!</v>
      </c>
      <c r="S35" s="14" t="e">
        <f t="shared" si="0"/>
        <v>#REF!</v>
      </c>
      <c r="T35" s="14"/>
    </row>
    <row r="36" spans="1:20" ht="17.5" customHeight="1">
      <c r="A36" s="22"/>
      <c r="B36" s="34">
        <v>78534</v>
      </c>
      <c r="C36" s="14" t="s">
        <v>42</v>
      </c>
      <c r="D36" s="20" t="s">
        <v>16</v>
      </c>
      <c r="E36" s="20" t="s">
        <v>14</v>
      </c>
      <c r="F36" s="20"/>
      <c r="G36" s="14" t="e">
        <f>#REF!+#REF!</f>
        <v>#REF!</v>
      </c>
      <c r="H36" s="14" t="e">
        <f>#REF!+#REF!</f>
        <v>#REF!</v>
      </c>
      <c r="I36" s="14" t="e">
        <f>#REF!+#REF!</f>
        <v>#REF!</v>
      </c>
      <c r="J36" s="14" t="e">
        <f>#REF!+#REF!</f>
        <v>#REF!</v>
      </c>
      <c r="K36" s="14" t="e">
        <f>#REF!+#REF!</f>
        <v>#REF!</v>
      </c>
      <c r="L36" s="14" t="e">
        <f>#REF!+#REF!</f>
        <v>#REF!</v>
      </c>
      <c r="M36" s="14" t="e">
        <f>#REF!+#REF!</f>
        <v>#REF!</v>
      </c>
      <c r="N36" s="14" t="e">
        <f>#REF!+#REF!</f>
        <v>#REF!</v>
      </c>
      <c r="O36" s="14" t="e">
        <f>#REF!+#REF!</f>
        <v>#REF!</v>
      </c>
      <c r="P36" s="14" t="e">
        <f>#REF!+#REF!</f>
        <v>#REF!</v>
      </c>
      <c r="Q36" s="14" t="e">
        <f>#REF!+#REF!</f>
        <v>#REF!</v>
      </c>
      <c r="R36" s="14" t="e">
        <f>#REF!+#REF!</f>
        <v>#REF!</v>
      </c>
      <c r="S36" s="14" t="e">
        <f t="shared" si="0"/>
        <v>#REF!</v>
      </c>
      <c r="T36" s="14"/>
    </row>
    <row r="37" spans="1:20" ht="17.5" customHeight="1">
      <c r="A37" s="22"/>
      <c r="B37" s="34">
        <v>78539</v>
      </c>
      <c r="C37" s="14" t="s">
        <v>43</v>
      </c>
      <c r="D37" s="20" t="s">
        <v>16</v>
      </c>
      <c r="E37" s="20" t="s">
        <v>14</v>
      </c>
      <c r="F37" s="20">
        <v>794070</v>
      </c>
      <c r="G37" s="14" t="e">
        <f>#REF!+#REF!</f>
        <v>#REF!</v>
      </c>
      <c r="H37" s="14" t="e">
        <f>#REF!+#REF!</f>
        <v>#REF!</v>
      </c>
      <c r="I37" s="14" t="e">
        <f>#REF!+#REF!</f>
        <v>#REF!</v>
      </c>
      <c r="J37" s="14" t="e">
        <f>#REF!+#REF!</f>
        <v>#REF!</v>
      </c>
      <c r="K37" s="14" t="e">
        <f>#REF!+#REF!</f>
        <v>#REF!</v>
      </c>
      <c r="L37" s="14" t="e">
        <f>#REF!+#REF!</f>
        <v>#REF!</v>
      </c>
      <c r="M37" s="14" t="e">
        <f>#REF!+#REF!</f>
        <v>#REF!</v>
      </c>
      <c r="N37" s="14" t="e">
        <f>#REF!+#REF!</f>
        <v>#REF!</v>
      </c>
      <c r="O37" s="14" t="e">
        <f>#REF!+#REF!</f>
        <v>#REF!</v>
      </c>
      <c r="P37" s="14" t="e">
        <f>#REF!+#REF!</f>
        <v>#REF!</v>
      </c>
      <c r="Q37" s="14" t="e">
        <f>#REF!+#REF!</f>
        <v>#REF!</v>
      </c>
      <c r="R37" s="14" t="e">
        <f>#REF!+#REF!</f>
        <v>#REF!</v>
      </c>
      <c r="S37" s="14" t="e">
        <f t="shared" si="0"/>
        <v>#REF!</v>
      </c>
      <c r="T37" s="14"/>
    </row>
    <row r="38" spans="1:20" ht="17.5" customHeight="1">
      <c r="A38" s="22"/>
      <c r="B38" s="34">
        <v>78551</v>
      </c>
      <c r="C38" s="14" t="s">
        <v>44</v>
      </c>
      <c r="D38" s="20" t="s">
        <v>16</v>
      </c>
      <c r="E38" s="20" t="s">
        <v>14</v>
      </c>
      <c r="F38" s="20"/>
      <c r="G38" s="14" t="e">
        <f>#REF!+#REF!</f>
        <v>#REF!</v>
      </c>
      <c r="H38" s="14" t="e">
        <f>#REF!+#REF!</f>
        <v>#REF!</v>
      </c>
      <c r="I38" s="14" t="e">
        <f>#REF!+#REF!</f>
        <v>#REF!</v>
      </c>
      <c r="J38" s="14" t="e">
        <f>#REF!+#REF!</f>
        <v>#REF!</v>
      </c>
      <c r="K38" s="14" t="e">
        <f>#REF!+#REF!</f>
        <v>#REF!</v>
      </c>
      <c r="L38" s="14" t="e">
        <f>#REF!+#REF!</f>
        <v>#REF!</v>
      </c>
      <c r="M38" s="14" t="e">
        <f>#REF!+#REF!</f>
        <v>#REF!</v>
      </c>
      <c r="N38" s="14" t="e">
        <f>#REF!+#REF!</f>
        <v>#REF!</v>
      </c>
      <c r="O38" s="14" t="e">
        <f>#REF!+#REF!</f>
        <v>#REF!</v>
      </c>
      <c r="P38" s="14" t="e">
        <f>#REF!+#REF!</f>
        <v>#REF!</v>
      </c>
      <c r="Q38" s="14" t="e">
        <f>#REF!+#REF!</f>
        <v>#REF!</v>
      </c>
      <c r="R38" s="14" t="e">
        <f>#REF!+#REF!</f>
        <v>#REF!</v>
      </c>
      <c r="S38" s="14" t="e">
        <f t="shared" si="0"/>
        <v>#REF!</v>
      </c>
      <c r="T38" s="14"/>
    </row>
    <row r="39" spans="1:20" ht="17.5" customHeight="1">
      <c r="A39" s="22"/>
      <c r="B39" s="34">
        <v>78561</v>
      </c>
      <c r="C39" s="14" t="s">
        <v>45</v>
      </c>
      <c r="D39" s="20" t="s">
        <v>16</v>
      </c>
      <c r="E39" s="20" t="s">
        <v>14</v>
      </c>
      <c r="F39" s="20"/>
      <c r="G39" s="14" t="e">
        <f>#REF!+#REF!</f>
        <v>#REF!</v>
      </c>
      <c r="H39" s="14" t="e">
        <f>#REF!+#REF!</f>
        <v>#REF!</v>
      </c>
      <c r="I39" s="14" t="e">
        <f>#REF!+#REF!</f>
        <v>#REF!</v>
      </c>
      <c r="J39" s="14" t="e">
        <f>#REF!+#REF!</f>
        <v>#REF!</v>
      </c>
      <c r="K39" s="14" t="e">
        <f>#REF!+#REF!</f>
        <v>#REF!</v>
      </c>
      <c r="L39" s="14" t="e">
        <f>#REF!+#REF!</f>
        <v>#REF!</v>
      </c>
      <c r="M39" s="14" t="e">
        <f>#REF!+#REF!</f>
        <v>#REF!</v>
      </c>
      <c r="N39" s="14" t="e">
        <f>#REF!+#REF!</f>
        <v>#REF!</v>
      </c>
      <c r="O39" s="14" t="e">
        <f>#REF!+#REF!</f>
        <v>#REF!</v>
      </c>
      <c r="P39" s="14" t="e">
        <f>#REF!+#REF!</f>
        <v>#REF!</v>
      </c>
      <c r="Q39" s="14" t="e">
        <f>#REF!+#REF!</f>
        <v>#REF!</v>
      </c>
      <c r="R39" s="14" t="e">
        <f>#REF!+#REF!</f>
        <v>#REF!</v>
      </c>
      <c r="S39" s="14" t="e">
        <f t="shared" si="0"/>
        <v>#REF!</v>
      </c>
      <c r="T39" s="14"/>
    </row>
    <row r="40" spans="1:20" ht="17.5" customHeight="1">
      <c r="A40" s="22"/>
      <c r="B40" s="34">
        <v>78564</v>
      </c>
      <c r="C40" s="14" t="s">
        <v>46</v>
      </c>
      <c r="D40" s="20" t="s">
        <v>16</v>
      </c>
      <c r="E40" s="20" t="s">
        <v>14</v>
      </c>
      <c r="F40" s="20"/>
      <c r="G40" s="14" t="e">
        <f>#REF!+#REF!</f>
        <v>#REF!</v>
      </c>
      <c r="H40" s="14" t="e">
        <f>#REF!+#REF!</f>
        <v>#REF!</v>
      </c>
      <c r="I40" s="14" t="e">
        <f>#REF!+#REF!</f>
        <v>#REF!</v>
      </c>
      <c r="J40" s="14" t="e">
        <f>#REF!+#REF!</f>
        <v>#REF!</v>
      </c>
      <c r="K40" s="14" t="e">
        <f>#REF!+#REF!</f>
        <v>#REF!</v>
      </c>
      <c r="L40" s="14" t="e">
        <f>#REF!+#REF!</f>
        <v>#REF!</v>
      </c>
      <c r="M40" s="14" t="e">
        <f>#REF!+#REF!</f>
        <v>#REF!</v>
      </c>
      <c r="N40" s="14" t="e">
        <f>#REF!+#REF!</f>
        <v>#REF!</v>
      </c>
      <c r="O40" s="14" t="e">
        <f>#REF!+#REF!</f>
        <v>#REF!</v>
      </c>
      <c r="P40" s="14" t="e">
        <f>#REF!+#REF!</f>
        <v>#REF!</v>
      </c>
      <c r="Q40" s="14" t="e">
        <f>#REF!+#REF!</f>
        <v>#REF!</v>
      </c>
      <c r="R40" s="14" t="e">
        <f>#REF!+#REF!</f>
        <v>#REF!</v>
      </c>
      <c r="S40" s="14" t="e">
        <f t="shared" si="0"/>
        <v>#REF!</v>
      </c>
      <c r="T40" s="14"/>
    </row>
    <row r="41" spans="1:20" ht="17.5" customHeight="1">
      <c r="A41" s="22"/>
      <c r="B41" s="34">
        <v>78581</v>
      </c>
      <c r="C41" s="14" t="s">
        <v>47</v>
      </c>
      <c r="D41" s="20" t="s">
        <v>16</v>
      </c>
      <c r="E41" s="20" t="s">
        <v>14</v>
      </c>
      <c r="F41" s="20">
        <v>799000</v>
      </c>
      <c r="G41" s="14" t="e">
        <f>#REF!+#REF!</f>
        <v>#REF!</v>
      </c>
      <c r="H41" s="14" t="e">
        <f>#REF!+#REF!</f>
        <v>#REF!</v>
      </c>
      <c r="I41" s="14" t="e">
        <f>#REF!+#REF!</f>
        <v>#REF!</v>
      </c>
      <c r="J41" s="14" t="e">
        <f>#REF!+#REF!</f>
        <v>#REF!</v>
      </c>
      <c r="K41" s="14" t="e">
        <f>#REF!+#REF!</f>
        <v>#REF!</v>
      </c>
      <c r="L41" s="14" t="e">
        <f>#REF!+#REF!</f>
        <v>#REF!</v>
      </c>
      <c r="M41" s="14" t="e">
        <f>#REF!+#REF!</f>
        <v>#REF!</v>
      </c>
      <c r="N41" s="14" t="e">
        <f>#REF!+#REF!</f>
        <v>#REF!</v>
      </c>
      <c r="O41" s="14" t="e">
        <f>#REF!+#REF!</f>
        <v>#REF!</v>
      </c>
      <c r="P41" s="14" t="e">
        <f>#REF!+#REF!</f>
        <v>#REF!</v>
      </c>
      <c r="Q41" s="14" t="e">
        <f>#REF!+#REF!</f>
        <v>#REF!</v>
      </c>
      <c r="R41" s="14" t="e">
        <f>#REF!+#REF!</f>
        <v>#REF!</v>
      </c>
      <c r="S41" s="14" t="e">
        <f t="shared" si="0"/>
        <v>#REF!</v>
      </c>
      <c r="T41" s="14"/>
    </row>
    <row r="42" spans="1:20" ht="17.5" customHeight="1">
      <c r="A42" s="22"/>
      <c r="B42" s="34">
        <v>78582</v>
      </c>
      <c r="C42" s="14" t="s">
        <v>48</v>
      </c>
      <c r="D42" s="20" t="s">
        <v>16</v>
      </c>
      <c r="E42" s="20" t="s">
        <v>14</v>
      </c>
      <c r="F42" s="20"/>
      <c r="G42" s="14" t="e">
        <f>#REF!+#REF!</f>
        <v>#REF!</v>
      </c>
      <c r="H42" s="14" t="e">
        <f>#REF!+#REF!</f>
        <v>#REF!</v>
      </c>
      <c r="I42" s="14" t="e">
        <f>#REF!+#REF!</f>
        <v>#REF!</v>
      </c>
      <c r="J42" s="14" t="e">
        <f>#REF!+#REF!</f>
        <v>#REF!</v>
      </c>
      <c r="K42" s="14" t="e">
        <f>#REF!+#REF!</f>
        <v>#REF!</v>
      </c>
      <c r="L42" s="14" t="e">
        <f>#REF!+#REF!</f>
        <v>#REF!</v>
      </c>
      <c r="M42" s="14" t="e">
        <f>#REF!+#REF!</f>
        <v>#REF!</v>
      </c>
      <c r="N42" s="14" t="e">
        <f>#REF!+#REF!</f>
        <v>#REF!</v>
      </c>
      <c r="O42" s="14" t="e">
        <f>#REF!+#REF!</f>
        <v>#REF!</v>
      </c>
      <c r="P42" s="14" t="e">
        <f>#REF!+#REF!</f>
        <v>#REF!</v>
      </c>
      <c r="Q42" s="14" t="e">
        <f>#REF!+#REF!</f>
        <v>#REF!</v>
      </c>
      <c r="R42" s="14" t="e">
        <f>#REF!+#REF!</f>
        <v>#REF!</v>
      </c>
      <c r="S42" s="14" t="e">
        <f t="shared" si="0"/>
        <v>#REF!</v>
      </c>
      <c r="T42" s="14"/>
    </row>
    <row r="43" spans="1:20" ht="17.5" customHeight="1">
      <c r="A43" s="22"/>
      <c r="B43" s="34">
        <v>78583</v>
      </c>
      <c r="C43" s="14" t="s">
        <v>49</v>
      </c>
      <c r="D43" s="20" t="s">
        <v>16</v>
      </c>
      <c r="E43" s="20" t="s">
        <v>14</v>
      </c>
      <c r="F43" s="20"/>
      <c r="G43" s="14" t="e">
        <f>#REF!+#REF!</f>
        <v>#REF!</v>
      </c>
      <c r="H43" s="14" t="e">
        <f>#REF!+#REF!</f>
        <v>#REF!</v>
      </c>
      <c r="I43" s="14" t="e">
        <f>#REF!+#REF!</f>
        <v>#REF!</v>
      </c>
      <c r="J43" s="14" t="e">
        <f>#REF!+#REF!</f>
        <v>#REF!</v>
      </c>
      <c r="K43" s="14" t="e">
        <f>#REF!+#REF!</f>
        <v>#REF!</v>
      </c>
      <c r="L43" s="14" t="e">
        <f>#REF!+#REF!</f>
        <v>#REF!</v>
      </c>
      <c r="M43" s="14" t="e">
        <f>#REF!+#REF!</f>
        <v>#REF!</v>
      </c>
      <c r="N43" s="14" t="e">
        <f>#REF!+#REF!</f>
        <v>#REF!</v>
      </c>
      <c r="O43" s="14" t="e">
        <f>#REF!+#REF!</f>
        <v>#REF!</v>
      </c>
      <c r="P43" s="14" t="e">
        <f>#REF!+#REF!</f>
        <v>#REF!</v>
      </c>
      <c r="Q43" s="14" t="e">
        <f>#REF!+#REF!</f>
        <v>#REF!</v>
      </c>
      <c r="R43" s="14" t="e">
        <f>#REF!+#REF!</f>
        <v>#REF!</v>
      </c>
      <c r="S43" s="14" t="e">
        <f t="shared" si="0"/>
        <v>#REF!</v>
      </c>
      <c r="T43" s="14"/>
    </row>
    <row r="44" spans="1:20" ht="17.5" customHeight="1">
      <c r="A44" s="22"/>
      <c r="B44" s="34">
        <v>78591</v>
      </c>
      <c r="C44" s="14" t="s">
        <v>50</v>
      </c>
      <c r="D44" s="20" t="s">
        <v>16</v>
      </c>
      <c r="E44" s="20" t="s">
        <v>14</v>
      </c>
      <c r="F44" s="20"/>
      <c r="G44" s="14" t="e">
        <f>#REF!+#REF!</f>
        <v>#REF!</v>
      </c>
      <c r="H44" s="14" t="e">
        <f>#REF!+#REF!</f>
        <v>#REF!</v>
      </c>
      <c r="I44" s="14" t="e">
        <f>#REF!+#REF!</f>
        <v>#REF!</v>
      </c>
      <c r="J44" s="14" t="e">
        <f>#REF!+#REF!</f>
        <v>#REF!</v>
      </c>
      <c r="K44" s="14" t="e">
        <f>#REF!+#REF!</f>
        <v>#REF!</v>
      </c>
      <c r="L44" s="14" t="e">
        <f>#REF!+#REF!</f>
        <v>#REF!</v>
      </c>
      <c r="M44" s="14" t="e">
        <f>#REF!+#REF!</f>
        <v>#REF!</v>
      </c>
      <c r="N44" s="14" t="e">
        <f>#REF!+#REF!</f>
        <v>#REF!</v>
      </c>
      <c r="O44" s="14" t="e">
        <f>#REF!+#REF!</f>
        <v>#REF!</v>
      </c>
      <c r="P44" s="14" t="e">
        <f>#REF!+#REF!</f>
        <v>#REF!</v>
      </c>
      <c r="Q44" s="14" t="e">
        <f>#REF!+#REF!</f>
        <v>#REF!</v>
      </c>
      <c r="R44" s="14" t="e">
        <f>#REF!+#REF!</f>
        <v>#REF!</v>
      </c>
      <c r="S44" s="14" t="e">
        <f t="shared" si="0"/>
        <v>#REF!</v>
      </c>
      <c r="T44" s="14"/>
    </row>
    <row r="45" spans="1:20" ht="17.5" customHeight="1">
      <c r="A45" s="22"/>
      <c r="B45" s="34">
        <v>78592</v>
      </c>
      <c r="C45" s="14" t="s">
        <v>51</v>
      </c>
      <c r="D45" s="20" t="s">
        <v>16</v>
      </c>
      <c r="E45" s="20" t="s">
        <v>14</v>
      </c>
      <c r="F45" s="20"/>
      <c r="G45" s="14" t="e">
        <f>#REF!+#REF!</f>
        <v>#REF!</v>
      </c>
      <c r="H45" s="14" t="e">
        <f>#REF!+#REF!</f>
        <v>#REF!</v>
      </c>
      <c r="I45" s="14" t="e">
        <f>#REF!+#REF!</f>
        <v>#REF!</v>
      </c>
      <c r="J45" s="14" t="e">
        <f>#REF!+#REF!</f>
        <v>#REF!</v>
      </c>
      <c r="K45" s="14" t="e">
        <f>#REF!+#REF!</f>
        <v>#REF!</v>
      </c>
      <c r="L45" s="14" t="e">
        <f>#REF!+#REF!</f>
        <v>#REF!</v>
      </c>
      <c r="M45" s="14" t="e">
        <f>#REF!+#REF!</f>
        <v>#REF!</v>
      </c>
      <c r="N45" s="14" t="e">
        <f>#REF!+#REF!</f>
        <v>#REF!</v>
      </c>
      <c r="O45" s="14" t="e">
        <f>#REF!+#REF!</f>
        <v>#REF!</v>
      </c>
      <c r="P45" s="14" t="e">
        <f>#REF!+#REF!</f>
        <v>#REF!</v>
      </c>
      <c r="Q45" s="14" t="e">
        <f>#REF!+#REF!</f>
        <v>#REF!</v>
      </c>
      <c r="R45" s="14" t="e">
        <f>#REF!+#REF!</f>
        <v>#REF!</v>
      </c>
      <c r="S45" s="14" t="e">
        <f t="shared" si="0"/>
        <v>#REF!</v>
      </c>
      <c r="T45" s="14"/>
    </row>
    <row r="46" spans="1:20" ht="17.5" customHeight="1">
      <c r="A46" s="22"/>
      <c r="B46" s="34">
        <v>78593</v>
      </c>
      <c r="C46" s="14" t="s">
        <v>52</v>
      </c>
      <c r="D46" s="20" t="s">
        <v>16</v>
      </c>
      <c r="E46" s="20" t="s">
        <v>14</v>
      </c>
      <c r="F46" s="20"/>
      <c r="G46" s="14" t="e">
        <f>#REF!+#REF!</f>
        <v>#REF!</v>
      </c>
      <c r="H46" s="14" t="e">
        <f>#REF!+#REF!</f>
        <v>#REF!</v>
      </c>
      <c r="I46" s="14" t="e">
        <f>#REF!+#REF!</f>
        <v>#REF!</v>
      </c>
      <c r="J46" s="14" t="e">
        <f>#REF!+#REF!</f>
        <v>#REF!</v>
      </c>
      <c r="K46" s="14" t="e">
        <f>#REF!+#REF!</f>
        <v>#REF!</v>
      </c>
      <c r="L46" s="14" t="e">
        <f>#REF!+#REF!</f>
        <v>#REF!</v>
      </c>
      <c r="M46" s="14" t="e">
        <f>#REF!+#REF!</f>
        <v>#REF!</v>
      </c>
      <c r="N46" s="14" t="e">
        <f>#REF!+#REF!</f>
        <v>#REF!</v>
      </c>
      <c r="O46" s="14" t="e">
        <f>#REF!+#REF!</f>
        <v>#REF!</v>
      </c>
      <c r="P46" s="14" t="e">
        <f>#REF!+#REF!</f>
        <v>#REF!</v>
      </c>
      <c r="Q46" s="14" t="e">
        <f>#REF!+#REF!</f>
        <v>#REF!</v>
      </c>
      <c r="R46" s="14" t="e">
        <f>#REF!+#REF!</f>
        <v>#REF!</v>
      </c>
      <c r="S46" s="14" t="e">
        <f t="shared" si="0"/>
        <v>#REF!</v>
      </c>
      <c r="T46" s="14"/>
    </row>
    <row r="47" spans="1:20" ht="17.5" customHeight="1">
      <c r="A47" s="22"/>
      <c r="B47" s="34">
        <v>78595</v>
      </c>
      <c r="C47" s="14" t="s">
        <v>53</v>
      </c>
      <c r="D47" s="20" t="s">
        <v>16</v>
      </c>
      <c r="E47" s="20" t="s">
        <v>14</v>
      </c>
      <c r="F47" s="20"/>
      <c r="G47" s="14" t="e">
        <f>#REF!+#REF!</f>
        <v>#REF!</v>
      </c>
      <c r="H47" s="14" t="e">
        <f>#REF!+#REF!</f>
        <v>#REF!</v>
      </c>
      <c r="I47" s="14" t="e">
        <f>#REF!+#REF!</f>
        <v>#REF!</v>
      </c>
      <c r="J47" s="14" t="e">
        <f>#REF!+#REF!</f>
        <v>#REF!</v>
      </c>
      <c r="K47" s="14" t="e">
        <f>#REF!+#REF!</f>
        <v>#REF!</v>
      </c>
      <c r="L47" s="14" t="e">
        <f>#REF!+#REF!</f>
        <v>#REF!</v>
      </c>
      <c r="M47" s="14" t="e">
        <f>#REF!+#REF!</f>
        <v>#REF!</v>
      </c>
      <c r="N47" s="14" t="e">
        <f>#REF!+#REF!</f>
        <v>#REF!</v>
      </c>
      <c r="O47" s="14" t="e">
        <f>#REF!+#REF!</f>
        <v>#REF!</v>
      </c>
      <c r="P47" s="14" t="e">
        <f>#REF!+#REF!</f>
        <v>#REF!</v>
      </c>
      <c r="Q47" s="14" t="e">
        <f>#REF!+#REF!</f>
        <v>#REF!</v>
      </c>
      <c r="R47" s="14" t="e">
        <f>#REF!+#REF!</f>
        <v>#REF!</v>
      </c>
      <c r="S47" s="14" t="e">
        <f t="shared" si="0"/>
        <v>#REF!</v>
      </c>
      <c r="T47" s="14"/>
    </row>
    <row r="48" spans="1:20" ht="17.5" customHeight="1">
      <c r="A48" s="22"/>
      <c r="B48" s="34">
        <v>78596</v>
      </c>
      <c r="C48" s="14" t="s">
        <v>54</v>
      </c>
      <c r="D48" s="20" t="s">
        <v>16</v>
      </c>
      <c r="E48" s="20" t="s">
        <v>14</v>
      </c>
      <c r="F48" s="20"/>
      <c r="G48" s="14" t="e">
        <f>#REF!+#REF!</f>
        <v>#REF!</v>
      </c>
      <c r="H48" s="14" t="e">
        <f>#REF!+#REF!</f>
        <v>#REF!</v>
      </c>
      <c r="I48" s="14" t="e">
        <f>#REF!+#REF!</f>
        <v>#REF!</v>
      </c>
      <c r="J48" s="14" t="e">
        <f>#REF!+#REF!</f>
        <v>#REF!</v>
      </c>
      <c r="K48" s="14" t="e">
        <f>#REF!+#REF!</f>
        <v>#REF!</v>
      </c>
      <c r="L48" s="14" t="e">
        <f>#REF!+#REF!</f>
        <v>#REF!</v>
      </c>
      <c r="M48" s="14" t="e">
        <f>#REF!+#REF!</f>
        <v>#REF!</v>
      </c>
      <c r="N48" s="14" t="e">
        <f>#REF!+#REF!</f>
        <v>#REF!</v>
      </c>
      <c r="O48" s="14" t="e">
        <f>#REF!+#REF!</f>
        <v>#REF!</v>
      </c>
      <c r="P48" s="14" t="e">
        <f>#REF!+#REF!</f>
        <v>#REF!</v>
      </c>
      <c r="Q48" s="14" t="e">
        <f>#REF!+#REF!</f>
        <v>#REF!</v>
      </c>
      <c r="R48" s="14" t="e">
        <f>#REF!+#REF!</f>
        <v>#REF!</v>
      </c>
      <c r="S48" s="14" t="e">
        <f t="shared" si="0"/>
        <v>#REF!</v>
      </c>
      <c r="T48" s="14"/>
    </row>
    <row r="49" spans="1:20" ht="17.5" customHeight="1">
      <c r="A49" s="22"/>
      <c r="B49" s="34">
        <v>78597</v>
      </c>
      <c r="C49" s="14" t="s">
        <v>55</v>
      </c>
      <c r="D49" s="20" t="s">
        <v>16</v>
      </c>
      <c r="E49" s="20" t="s">
        <v>14</v>
      </c>
      <c r="F49" s="20">
        <v>745650</v>
      </c>
      <c r="G49" s="14" t="e">
        <f>#REF!+#REF!</f>
        <v>#REF!</v>
      </c>
      <c r="H49" s="14" t="e">
        <f>#REF!+#REF!</f>
        <v>#REF!</v>
      </c>
      <c r="I49" s="14" t="e">
        <f>#REF!+#REF!</f>
        <v>#REF!</v>
      </c>
      <c r="J49" s="14" t="e">
        <f>#REF!+#REF!</f>
        <v>#REF!</v>
      </c>
      <c r="K49" s="14" t="e">
        <f>#REF!+#REF!</f>
        <v>#REF!</v>
      </c>
      <c r="L49" s="14" t="e">
        <f>#REF!+#REF!</f>
        <v>#REF!</v>
      </c>
      <c r="M49" s="14" t="e">
        <f>#REF!+#REF!</f>
        <v>#REF!</v>
      </c>
      <c r="N49" s="14" t="e">
        <f>#REF!+#REF!</f>
        <v>#REF!</v>
      </c>
      <c r="O49" s="14" t="e">
        <f>#REF!+#REF!</f>
        <v>#REF!</v>
      </c>
      <c r="P49" s="14" t="e">
        <f>#REF!+#REF!</f>
        <v>#REF!</v>
      </c>
      <c r="Q49" s="14" t="e">
        <f>#REF!+#REF!</f>
        <v>#REF!</v>
      </c>
      <c r="R49" s="14" t="e">
        <f>#REF!+#REF!</f>
        <v>#REF!</v>
      </c>
      <c r="S49" s="14" t="e">
        <f t="shared" si="0"/>
        <v>#REF!</v>
      </c>
      <c r="T49" s="14"/>
    </row>
    <row r="50" spans="1:20" ht="17.5" customHeight="1">
      <c r="A50" s="22"/>
      <c r="B50" s="34">
        <v>78598</v>
      </c>
      <c r="C50" s="14" t="s">
        <v>56</v>
      </c>
      <c r="D50" s="20" t="s">
        <v>16</v>
      </c>
      <c r="E50" s="20" t="s">
        <v>14</v>
      </c>
      <c r="F50" s="20">
        <v>799040</v>
      </c>
      <c r="G50" s="14" t="e">
        <f>#REF!+#REF!</f>
        <v>#REF!</v>
      </c>
      <c r="H50" s="14" t="e">
        <f>#REF!+#REF!</f>
        <v>#REF!</v>
      </c>
      <c r="I50" s="14" t="e">
        <f>#REF!+#REF!</f>
        <v>#REF!</v>
      </c>
      <c r="J50" s="14" t="e">
        <f>#REF!+#REF!</f>
        <v>#REF!</v>
      </c>
      <c r="K50" s="14" t="e">
        <f>#REF!+#REF!</f>
        <v>#REF!</v>
      </c>
      <c r="L50" s="14" t="e">
        <f>#REF!+#REF!</f>
        <v>#REF!</v>
      </c>
      <c r="M50" s="14" t="e">
        <f>#REF!+#REF!</f>
        <v>#REF!</v>
      </c>
      <c r="N50" s="14" t="e">
        <f>#REF!+#REF!</f>
        <v>#REF!</v>
      </c>
      <c r="O50" s="14" t="e">
        <f>#REF!+#REF!</f>
        <v>#REF!</v>
      </c>
      <c r="P50" s="14" t="e">
        <f>#REF!+#REF!</f>
        <v>#REF!</v>
      </c>
      <c r="Q50" s="14" t="e">
        <f>#REF!+#REF!</f>
        <v>#REF!</v>
      </c>
      <c r="R50" s="14" t="e">
        <f>#REF!+#REF!</f>
        <v>#REF!</v>
      </c>
      <c r="S50" s="14" t="e">
        <f t="shared" si="0"/>
        <v>#REF!</v>
      </c>
      <c r="T50" s="14"/>
    </row>
    <row r="51" spans="1:20" ht="17.5" customHeight="1">
      <c r="A51" s="22"/>
      <c r="B51" s="34">
        <v>78599</v>
      </c>
      <c r="C51" s="14" t="s">
        <v>57</v>
      </c>
      <c r="D51" s="20" t="s">
        <v>16</v>
      </c>
      <c r="E51" s="20" t="s">
        <v>14</v>
      </c>
      <c r="F51" s="20"/>
      <c r="G51" s="14" t="e">
        <f>#REF!+#REF!</f>
        <v>#REF!</v>
      </c>
      <c r="H51" s="14" t="e">
        <f>#REF!+#REF!</f>
        <v>#REF!</v>
      </c>
      <c r="I51" s="14" t="e">
        <f>#REF!+#REF!</f>
        <v>#REF!</v>
      </c>
      <c r="J51" s="14" t="e">
        <f>#REF!+#REF!</f>
        <v>#REF!</v>
      </c>
      <c r="K51" s="14" t="e">
        <f>#REF!+#REF!</f>
        <v>#REF!</v>
      </c>
      <c r="L51" s="14" t="e">
        <f>#REF!+#REF!</f>
        <v>#REF!</v>
      </c>
      <c r="M51" s="14" t="e">
        <f>#REF!+#REF!</f>
        <v>#REF!</v>
      </c>
      <c r="N51" s="14" t="e">
        <f>#REF!+#REF!</f>
        <v>#REF!</v>
      </c>
      <c r="O51" s="14" t="e">
        <f>#REF!+#REF!</f>
        <v>#REF!</v>
      </c>
      <c r="P51" s="14" t="e">
        <f>#REF!+#REF!</f>
        <v>#REF!</v>
      </c>
      <c r="Q51" s="14" t="e">
        <f>#REF!+#REF!</f>
        <v>#REF!</v>
      </c>
      <c r="R51" s="14" t="e">
        <f>#REF!+#REF!</f>
        <v>#REF!</v>
      </c>
      <c r="S51" s="14" t="e">
        <f t="shared" si="0"/>
        <v>#REF!</v>
      </c>
      <c r="T51" s="14"/>
    </row>
    <row r="52" spans="1:20" ht="17.5" customHeight="1">
      <c r="A52" s="22"/>
      <c r="B52" s="34"/>
      <c r="C52" s="14" t="s">
        <v>58</v>
      </c>
      <c r="D52" s="20" t="s">
        <v>16</v>
      </c>
      <c r="E52" s="20" t="s">
        <v>14</v>
      </c>
      <c r="F52" s="20"/>
      <c r="G52" s="14" t="e">
        <f>#REF!+#REF!</f>
        <v>#REF!</v>
      </c>
      <c r="H52" s="14" t="e">
        <f>#REF!+#REF!</f>
        <v>#REF!</v>
      </c>
      <c r="I52" s="14" t="e">
        <f>#REF!+#REF!</f>
        <v>#REF!</v>
      </c>
      <c r="J52" s="14" t="e">
        <f>#REF!+#REF!</f>
        <v>#REF!</v>
      </c>
      <c r="K52" s="14" t="e">
        <f>#REF!+#REF!</f>
        <v>#REF!</v>
      </c>
      <c r="L52" s="14" t="e">
        <f>#REF!+#REF!</f>
        <v>#REF!</v>
      </c>
      <c r="M52" s="14" t="e">
        <f>#REF!+#REF!</f>
        <v>#REF!</v>
      </c>
      <c r="N52" s="14" t="e">
        <f>#REF!+#REF!</f>
        <v>#REF!</v>
      </c>
      <c r="O52" s="14" t="e">
        <f>#REF!+#REF!</f>
        <v>#REF!</v>
      </c>
      <c r="P52" s="14" t="e">
        <f>#REF!+#REF!</f>
        <v>#REF!</v>
      </c>
      <c r="Q52" s="14" t="e">
        <f>#REF!+#REF!</f>
        <v>#REF!</v>
      </c>
      <c r="R52" s="14" t="e">
        <f>#REF!+#REF!</f>
        <v>#REF!</v>
      </c>
      <c r="S52" s="14" t="e">
        <f t="shared" si="0"/>
        <v>#REF!</v>
      </c>
      <c r="T52" s="14"/>
    </row>
    <row r="53" spans="1:20" ht="17.5" customHeight="1">
      <c r="A53" s="22"/>
      <c r="B53" s="34">
        <v>78611</v>
      </c>
      <c r="C53" s="14" t="s">
        <v>59</v>
      </c>
      <c r="D53" s="20" t="s">
        <v>16</v>
      </c>
      <c r="E53" s="20" t="s">
        <v>14</v>
      </c>
      <c r="F53" s="20"/>
      <c r="G53" s="14" t="e">
        <f>#REF!+#REF!</f>
        <v>#REF!</v>
      </c>
      <c r="H53" s="14" t="e">
        <f>#REF!+#REF!</f>
        <v>#REF!</v>
      </c>
      <c r="I53" s="14" t="e">
        <f>#REF!+#REF!</f>
        <v>#REF!</v>
      </c>
      <c r="J53" s="14" t="e">
        <f>#REF!+#REF!</f>
        <v>#REF!</v>
      </c>
      <c r="K53" s="14" t="e">
        <f>#REF!+#REF!</f>
        <v>#REF!</v>
      </c>
      <c r="L53" s="14" t="e">
        <f>#REF!+#REF!</f>
        <v>#REF!</v>
      </c>
      <c r="M53" s="14" t="e">
        <f>#REF!+#REF!</f>
        <v>#REF!</v>
      </c>
      <c r="N53" s="14" t="e">
        <f>#REF!+#REF!</f>
        <v>#REF!</v>
      </c>
      <c r="O53" s="14" t="e">
        <f>#REF!+#REF!</f>
        <v>#REF!</v>
      </c>
      <c r="P53" s="14" t="e">
        <f>#REF!+#REF!</f>
        <v>#REF!</v>
      </c>
      <c r="Q53" s="14" t="e">
        <f>#REF!+#REF!</f>
        <v>#REF!</v>
      </c>
      <c r="R53" s="14" t="e">
        <f>#REF!+#REF!</f>
        <v>#REF!</v>
      </c>
      <c r="S53" s="14" t="e">
        <f t="shared" si="0"/>
        <v>#REF!</v>
      </c>
      <c r="T53" s="14"/>
    </row>
    <row r="54" spans="1:20" ht="17.5" customHeight="1">
      <c r="A54" s="22"/>
      <c r="B54" s="34">
        <v>78612</v>
      </c>
      <c r="C54" s="14" t="s">
        <v>60</v>
      </c>
      <c r="D54" s="20" t="s">
        <v>16</v>
      </c>
      <c r="E54" s="20" t="s">
        <v>14</v>
      </c>
      <c r="F54" s="20"/>
      <c r="G54" s="14" t="e">
        <f>#REF!+#REF!</f>
        <v>#REF!</v>
      </c>
      <c r="H54" s="14" t="e">
        <f>#REF!+#REF!</f>
        <v>#REF!</v>
      </c>
      <c r="I54" s="14" t="e">
        <f>#REF!+#REF!</f>
        <v>#REF!</v>
      </c>
      <c r="J54" s="14" t="e">
        <f>#REF!+#REF!</f>
        <v>#REF!</v>
      </c>
      <c r="K54" s="14" t="e">
        <f>#REF!+#REF!</f>
        <v>#REF!</v>
      </c>
      <c r="L54" s="14" t="e">
        <f>#REF!+#REF!</f>
        <v>#REF!</v>
      </c>
      <c r="M54" s="14" t="e">
        <f>#REF!+#REF!</f>
        <v>#REF!</v>
      </c>
      <c r="N54" s="14" t="e">
        <f>#REF!+#REF!</f>
        <v>#REF!</v>
      </c>
      <c r="O54" s="14" t="e">
        <f>#REF!+#REF!</f>
        <v>#REF!</v>
      </c>
      <c r="P54" s="14" t="e">
        <f>#REF!+#REF!</f>
        <v>#REF!</v>
      </c>
      <c r="Q54" s="14" t="e">
        <f>#REF!+#REF!</f>
        <v>#REF!</v>
      </c>
      <c r="R54" s="14" t="e">
        <f>#REF!+#REF!</f>
        <v>#REF!</v>
      </c>
      <c r="S54" s="14" t="e">
        <f t="shared" si="0"/>
        <v>#REF!</v>
      </c>
      <c r="T54" s="14"/>
    </row>
    <row r="55" spans="1:20" ht="17.5" customHeight="1">
      <c r="A55" s="22"/>
      <c r="B55" s="34">
        <v>78613</v>
      </c>
      <c r="C55" s="14" t="s">
        <v>61</v>
      </c>
      <c r="D55" s="20" t="s">
        <v>16</v>
      </c>
      <c r="E55" s="20" t="s">
        <v>14</v>
      </c>
      <c r="F55" s="20"/>
      <c r="G55" s="14" t="e">
        <f>#REF!+#REF!</f>
        <v>#REF!</v>
      </c>
      <c r="H55" s="14" t="e">
        <f>#REF!+#REF!</f>
        <v>#REF!</v>
      </c>
      <c r="I55" s="14" t="e">
        <f>#REF!+#REF!</f>
        <v>#REF!</v>
      </c>
      <c r="J55" s="14" t="e">
        <f>#REF!+#REF!</f>
        <v>#REF!</v>
      </c>
      <c r="K55" s="14" t="e">
        <f>#REF!+#REF!</f>
        <v>#REF!</v>
      </c>
      <c r="L55" s="14" t="e">
        <f>#REF!+#REF!</f>
        <v>#REF!</v>
      </c>
      <c r="M55" s="14" t="e">
        <f>#REF!+#REF!</f>
        <v>#REF!</v>
      </c>
      <c r="N55" s="14" t="e">
        <f>#REF!+#REF!</f>
        <v>#REF!</v>
      </c>
      <c r="O55" s="14" t="e">
        <f>#REF!+#REF!</f>
        <v>#REF!</v>
      </c>
      <c r="P55" s="14" t="e">
        <f>#REF!+#REF!</f>
        <v>#REF!</v>
      </c>
      <c r="Q55" s="14" t="e">
        <f>#REF!+#REF!</f>
        <v>#REF!</v>
      </c>
      <c r="R55" s="14" t="e">
        <f>#REF!+#REF!</f>
        <v>#REF!</v>
      </c>
      <c r="S55" s="14" t="e">
        <f t="shared" si="0"/>
        <v>#REF!</v>
      </c>
      <c r="T55" s="14"/>
    </row>
    <row r="56" spans="1:20" ht="17.5" customHeight="1">
      <c r="A56" s="22"/>
      <c r="B56" s="34">
        <v>78615</v>
      </c>
      <c r="C56" s="14" t="s">
        <v>62</v>
      </c>
      <c r="D56" s="20" t="s">
        <v>16</v>
      </c>
      <c r="E56" s="20" t="s">
        <v>14</v>
      </c>
      <c r="F56" s="20"/>
      <c r="G56" s="14" t="e">
        <f>#REF!+#REF!</f>
        <v>#REF!</v>
      </c>
      <c r="H56" s="14" t="e">
        <f>#REF!+#REF!</f>
        <v>#REF!</v>
      </c>
      <c r="I56" s="14" t="e">
        <f>#REF!+#REF!</f>
        <v>#REF!</v>
      </c>
      <c r="J56" s="14" t="e">
        <f>#REF!+#REF!</f>
        <v>#REF!</v>
      </c>
      <c r="K56" s="14" t="e">
        <f>#REF!+#REF!</f>
        <v>#REF!</v>
      </c>
      <c r="L56" s="14" t="e">
        <f>#REF!+#REF!</f>
        <v>#REF!</v>
      </c>
      <c r="M56" s="14" t="e">
        <f>#REF!+#REF!</f>
        <v>#REF!</v>
      </c>
      <c r="N56" s="14" t="e">
        <f>#REF!+#REF!</f>
        <v>#REF!</v>
      </c>
      <c r="O56" s="14" t="e">
        <f>#REF!+#REF!</f>
        <v>#REF!</v>
      </c>
      <c r="P56" s="14" t="e">
        <f>#REF!+#REF!</f>
        <v>#REF!</v>
      </c>
      <c r="Q56" s="14" t="e">
        <f>#REF!+#REF!</f>
        <v>#REF!</v>
      </c>
      <c r="R56" s="14" t="e">
        <f>#REF!+#REF!</f>
        <v>#REF!</v>
      </c>
      <c r="S56" s="14" t="e">
        <f t="shared" si="0"/>
        <v>#REF!</v>
      </c>
      <c r="T56" s="14"/>
    </row>
    <row r="57" spans="1:20" ht="17.5" customHeight="1">
      <c r="A57" s="22"/>
      <c r="B57" s="34">
        <v>78616</v>
      </c>
      <c r="C57" s="14" t="s">
        <v>63</v>
      </c>
      <c r="D57" s="20" t="s">
        <v>16</v>
      </c>
      <c r="E57" s="20" t="s">
        <v>14</v>
      </c>
      <c r="F57" s="20"/>
      <c r="G57" s="14" t="e">
        <f>#REF!+#REF!</f>
        <v>#REF!</v>
      </c>
      <c r="H57" s="14" t="e">
        <f>#REF!+#REF!</f>
        <v>#REF!</v>
      </c>
      <c r="I57" s="14" t="e">
        <f>#REF!+#REF!</f>
        <v>#REF!</v>
      </c>
      <c r="J57" s="14" t="e">
        <f>#REF!+#REF!</f>
        <v>#REF!</v>
      </c>
      <c r="K57" s="14" t="e">
        <f>#REF!+#REF!</f>
        <v>#REF!</v>
      </c>
      <c r="L57" s="14" t="e">
        <f>#REF!+#REF!</f>
        <v>#REF!</v>
      </c>
      <c r="M57" s="14" t="e">
        <f>#REF!+#REF!</f>
        <v>#REF!</v>
      </c>
      <c r="N57" s="14" t="e">
        <f>#REF!+#REF!</f>
        <v>#REF!</v>
      </c>
      <c r="O57" s="14" t="e">
        <f>#REF!+#REF!</f>
        <v>#REF!</v>
      </c>
      <c r="P57" s="14" t="e">
        <f>#REF!+#REF!</f>
        <v>#REF!</v>
      </c>
      <c r="Q57" s="14" t="e">
        <f>#REF!+#REF!</f>
        <v>#REF!</v>
      </c>
      <c r="R57" s="14" t="e">
        <f>#REF!+#REF!</f>
        <v>#REF!</v>
      </c>
      <c r="S57" s="14" t="e">
        <f t="shared" si="0"/>
        <v>#REF!</v>
      </c>
      <c r="T57" s="14"/>
    </row>
    <row r="58" spans="1:20" ht="17.5" customHeight="1">
      <c r="A58" s="22"/>
      <c r="B58" s="34">
        <v>78617</v>
      </c>
      <c r="C58" s="14" t="s">
        <v>64</v>
      </c>
      <c r="D58" s="20" t="s">
        <v>16</v>
      </c>
      <c r="E58" s="20" t="s">
        <v>14</v>
      </c>
      <c r="F58" s="20"/>
      <c r="G58" s="14" t="e">
        <f>#REF!+#REF!</f>
        <v>#REF!</v>
      </c>
      <c r="H58" s="14" t="e">
        <f>#REF!+#REF!</f>
        <v>#REF!</v>
      </c>
      <c r="I58" s="14" t="e">
        <f>#REF!+#REF!</f>
        <v>#REF!</v>
      </c>
      <c r="J58" s="14" t="e">
        <f>#REF!+#REF!</f>
        <v>#REF!</v>
      </c>
      <c r="K58" s="14" t="e">
        <f>#REF!+#REF!</f>
        <v>#REF!</v>
      </c>
      <c r="L58" s="14" t="e">
        <f>#REF!+#REF!</f>
        <v>#REF!</v>
      </c>
      <c r="M58" s="14" t="e">
        <f>#REF!+#REF!</f>
        <v>#REF!</v>
      </c>
      <c r="N58" s="14" t="e">
        <f>#REF!+#REF!</f>
        <v>#REF!</v>
      </c>
      <c r="O58" s="14" t="e">
        <f>#REF!+#REF!</f>
        <v>#REF!</v>
      </c>
      <c r="P58" s="14" t="e">
        <f>#REF!+#REF!</f>
        <v>#REF!</v>
      </c>
      <c r="Q58" s="14" t="e">
        <f>#REF!+#REF!</f>
        <v>#REF!</v>
      </c>
      <c r="R58" s="14" t="e">
        <f>#REF!+#REF!</f>
        <v>#REF!</v>
      </c>
      <c r="S58" s="14" t="e">
        <f t="shared" si="0"/>
        <v>#REF!</v>
      </c>
      <c r="T58" s="14"/>
    </row>
    <row r="59" spans="1:20" ht="17.5" customHeight="1">
      <c r="A59" s="22"/>
      <c r="B59" s="34">
        <v>78620</v>
      </c>
      <c r="C59" s="14" t="s">
        <v>65</v>
      </c>
      <c r="D59" s="20" t="s">
        <v>16</v>
      </c>
      <c r="E59" s="20" t="s">
        <v>14</v>
      </c>
      <c r="F59" s="20">
        <v>791000</v>
      </c>
      <c r="G59" s="14" t="e">
        <f>#REF!+#REF!</f>
        <v>#REF!</v>
      </c>
      <c r="H59" s="14" t="e">
        <f>#REF!+#REF!</f>
        <v>#REF!</v>
      </c>
      <c r="I59" s="14" t="e">
        <f>#REF!+#REF!</f>
        <v>#REF!</v>
      </c>
      <c r="J59" s="14" t="e">
        <f>#REF!+#REF!</f>
        <v>#REF!</v>
      </c>
      <c r="K59" s="14" t="e">
        <f>#REF!+#REF!</f>
        <v>#REF!</v>
      </c>
      <c r="L59" s="14" t="e">
        <f>#REF!+#REF!</f>
        <v>#REF!</v>
      </c>
      <c r="M59" s="14" t="e">
        <f>#REF!+#REF!</f>
        <v>#REF!</v>
      </c>
      <c r="N59" s="14" t="e">
        <f>#REF!+#REF!</f>
        <v>#REF!</v>
      </c>
      <c r="O59" s="14" t="e">
        <f>#REF!+#REF!</f>
        <v>#REF!</v>
      </c>
      <c r="P59" s="14" t="e">
        <f>#REF!+#REF!</f>
        <v>#REF!</v>
      </c>
      <c r="Q59" s="14" t="e">
        <f>#REF!+#REF!</f>
        <v>#REF!</v>
      </c>
      <c r="R59" s="14" t="e">
        <f>#REF!+#REF!</f>
        <v>#REF!</v>
      </c>
      <c r="S59" s="14" t="e">
        <f t="shared" si="0"/>
        <v>#REF!</v>
      </c>
      <c r="T59" s="14"/>
    </row>
    <row r="60" spans="1:20" ht="17.5" customHeight="1">
      <c r="A60" s="22"/>
      <c r="B60" s="34">
        <v>78621</v>
      </c>
      <c r="C60" s="14" t="s">
        <v>66</v>
      </c>
      <c r="D60" s="20" t="s">
        <v>16</v>
      </c>
      <c r="E60" s="20" t="s">
        <v>14</v>
      </c>
      <c r="F60" s="20">
        <v>791900</v>
      </c>
      <c r="G60" s="14" t="e">
        <f>#REF!+#REF!</f>
        <v>#REF!</v>
      </c>
      <c r="H60" s="14" t="e">
        <f>#REF!+#REF!</f>
        <v>#REF!</v>
      </c>
      <c r="I60" s="14" t="e">
        <f>#REF!+#REF!</f>
        <v>#REF!</v>
      </c>
      <c r="J60" s="14" t="e">
        <f>#REF!+#REF!</f>
        <v>#REF!</v>
      </c>
      <c r="K60" s="14" t="e">
        <f>#REF!+#REF!</f>
        <v>#REF!</v>
      </c>
      <c r="L60" s="14" t="e">
        <f>#REF!+#REF!</f>
        <v>#REF!</v>
      </c>
      <c r="M60" s="14" t="e">
        <f>#REF!+#REF!</f>
        <v>#REF!</v>
      </c>
      <c r="N60" s="14" t="e">
        <f>#REF!+#REF!</f>
        <v>#REF!</v>
      </c>
      <c r="O60" s="14" t="e">
        <f>#REF!+#REF!</f>
        <v>#REF!</v>
      </c>
      <c r="P60" s="14" t="e">
        <f>#REF!+#REF!</f>
        <v>#REF!</v>
      </c>
      <c r="Q60" s="14" t="e">
        <f>#REF!+#REF!</f>
        <v>#REF!</v>
      </c>
      <c r="R60" s="14" t="e">
        <f>#REF!+#REF!</f>
        <v>#REF!</v>
      </c>
      <c r="S60" s="14" t="e">
        <f t="shared" si="0"/>
        <v>#REF!</v>
      </c>
      <c r="T60" s="14"/>
    </row>
    <row r="61" spans="1:20" ht="17.5" customHeight="1">
      <c r="A61" s="22"/>
      <c r="B61" s="34">
        <v>78622</v>
      </c>
      <c r="C61" s="14" t="s">
        <v>67</v>
      </c>
      <c r="D61" s="20" t="s">
        <v>16</v>
      </c>
      <c r="E61" s="20" t="s">
        <v>14</v>
      </c>
      <c r="F61" s="20">
        <v>791900</v>
      </c>
      <c r="G61" s="14" t="e">
        <f>#REF!+#REF!</f>
        <v>#REF!</v>
      </c>
      <c r="H61" s="14" t="e">
        <f>#REF!+#REF!</f>
        <v>#REF!</v>
      </c>
      <c r="I61" s="14" t="e">
        <f>#REF!+#REF!</f>
        <v>#REF!</v>
      </c>
      <c r="J61" s="14" t="e">
        <f>#REF!+#REF!</f>
        <v>#REF!</v>
      </c>
      <c r="K61" s="14" t="e">
        <f>#REF!+#REF!</f>
        <v>#REF!</v>
      </c>
      <c r="L61" s="14" t="e">
        <f>#REF!+#REF!</f>
        <v>#REF!</v>
      </c>
      <c r="M61" s="14" t="e">
        <f>#REF!+#REF!</f>
        <v>#REF!</v>
      </c>
      <c r="N61" s="14" t="e">
        <f>#REF!+#REF!</f>
        <v>#REF!</v>
      </c>
      <c r="O61" s="14" t="e">
        <f>#REF!+#REF!</f>
        <v>#REF!</v>
      </c>
      <c r="P61" s="14" t="e">
        <f>#REF!+#REF!</f>
        <v>#REF!</v>
      </c>
      <c r="Q61" s="14" t="e">
        <f>#REF!+#REF!</f>
        <v>#REF!</v>
      </c>
      <c r="R61" s="14" t="e">
        <f>#REF!+#REF!</f>
        <v>#REF!</v>
      </c>
      <c r="S61" s="14" t="e">
        <f t="shared" si="0"/>
        <v>#REF!</v>
      </c>
      <c r="T61" s="14"/>
    </row>
    <row r="62" spans="1:20" ht="17.5" customHeight="1">
      <c r="A62" s="22"/>
      <c r="B62" s="34">
        <v>78623</v>
      </c>
      <c r="C62" s="14" t="s">
        <v>68</v>
      </c>
      <c r="D62" s="20" t="s">
        <v>16</v>
      </c>
      <c r="E62" s="20" t="s">
        <v>14</v>
      </c>
      <c r="F62" s="20">
        <v>791100</v>
      </c>
      <c r="G62" s="14" t="e">
        <f>#REF!+#REF!</f>
        <v>#REF!</v>
      </c>
      <c r="H62" s="14" t="e">
        <f>#REF!+#REF!</f>
        <v>#REF!</v>
      </c>
      <c r="I62" s="14" t="e">
        <f>#REF!+#REF!</f>
        <v>#REF!</v>
      </c>
      <c r="J62" s="14" t="e">
        <f>#REF!+#REF!</f>
        <v>#REF!</v>
      </c>
      <c r="K62" s="14" t="e">
        <f>#REF!+#REF!</f>
        <v>#REF!</v>
      </c>
      <c r="L62" s="14" t="e">
        <f>#REF!+#REF!</f>
        <v>#REF!</v>
      </c>
      <c r="M62" s="14" t="e">
        <f>#REF!+#REF!</f>
        <v>#REF!</v>
      </c>
      <c r="N62" s="14" t="e">
        <f>#REF!+#REF!</f>
        <v>#REF!</v>
      </c>
      <c r="O62" s="14" t="e">
        <f>#REF!+#REF!</f>
        <v>#REF!</v>
      </c>
      <c r="P62" s="14" t="e">
        <f>#REF!+#REF!</f>
        <v>#REF!</v>
      </c>
      <c r="Q62" s="14" t="e">
        <f>#REF!+#REF!</f>
        <v>#REF!</v>
      </c>
      <c r="R62" s="14" t="e">
        <f>#REF!+#REF!</f>
        <v>#REF!</v>
      </c>
      <c r="S62" s="14" t="e">
        <f t="shared" si="0"/>
        <v>#REF!</v>
      </c>
      <c r="T62" s="14"/>
    </row>
    <row r="63" spans="1:20" ht="17.5" customHeight="1">
      <c r="A63" s="22"/>
      <c r="B63" s="34">
        <v>78624</v>
      </c>
      <c r="C63" s="14" t="s">
        <v>69</v>
      </c>
      <c r="D63" s="20" t="s">
        <v>16</v>
      </c>
      <c r="E63" s="20" t="s">
        <v>14</v>
      </c>
      <c r="F63" s="20">
        <v>790000</v>
      </c>
      <c r="G63" s="14" t="e">
        <f>#REF!+#REF!</f>
        <v>#REF!</v>
      </c>
      <c r="H63" s="14" t="e">
        <f>#REF!+#REF!</f>
        <v>#REF!</v>
      </c>
      <c r="I63" s="14" t="e">
        <f>#REF!+#REF!</f>
        <v>#REF!</v>
      </c>
      <c r="J63" s="14" t="e">
        <f>#REF!+#REF!</f>
        <v>#REF!</v>
      </c>
      <c r="K63" s="14" t="e">
        <f>#REF!+#REF!</f>
        <v>#REF!</v>
      </c>
      <c r="L63" s="14" t="e">
        <f>#REF!+#REF!</f>
        <v>#REF!</v>
      </c>
      <c r="M63" s="14" t="e">
        <f>#REF!+#REF!</f>
        <v>#REF!</v>
      </c>
      <c r="N63" s="14" t="e">
        <f>#REF!+#REF!</f>
        <v>#REF!</v>
      </c>
      <c r="O63" s="14" t="e">
        <f>#REF!+#REF!</f>
        <v>#REF!</v>
      </c>
      <c r="P63" s="14" t="e">
        <f>#REF!+#REF!</f>
        <v>#REF!</v>
      </c>
      <c r="Q63" s="14" t="e">
        <f>#REF!+#REF!</f>
        <v>#REF!</v>
      </c>
      <c r="R63" s="14" t="e">
        <f>#REF!+#REF!</f>
        <v>#REF!</v>
      </c>
      <c r="S63" s="14" t="e">
        <f t="shared" si="0"/>
        <v>#REF!</v>
      </c>
      <c r="T63" s="14"/>
    </row>
    <row r="64" spans="1:20" ht="17.5" customHeight="1">
      <c r="A64" s="22"/>
      <c r="B64" s="34">
        <v>78625</v>
      </c>
      <c r="C64" s="14" t="s">
        <v>70</v>
      </c>
      <c r="D64" s="20" t="s">
        <v>16</v>
      </c>
      <c r="E64" s="20" t="s">
        <v>14</v>
      </c>
      <c r="F64" s="20">
        <v>799000</v>
      </c>
      <c r="G64" s="14" t="e">
        <f>#REF!+#REF!</f>
        <v>#REF!</v>
      </c>
      <c r="H64" s="14" t="e">
        <f>#REF!+#REF!</f>
        <v>#REF!</v>
      </c>
      <c r="I64" s="14" t="e">
        <f>#REF!+#REF!</f>
        <v>#REF!</v>
      </c>
      <c r="J64" s="14" t="e">
        <f>#REF!+#REF!</f>
        <v>#REF!</v>
      </c>
      <c r="K64" s="14" t="e">
        <f>#REF!+#REF!</f>
        <v>#REF!</v>
      </c>
      <c r="L64" s="14" t="e">
        <f>#REF!+#REF!</f>
        <v>#REF!</v>
      </c>
      <c r="M64" s="14" t="e">
        <f>#REF!+#REF!</f>
        <v>#REF!</v>
      </c>
      <c r="N64" s="14" t="e">
        <f>#REF!+#REF!</f>
        <v>#REF!</v>
      </c>
      <c r="O64" s="14" t="e">
        <f>#REF!+#REF!</f>
        <v>#REF!</v>
      </c>
      <c r="P64" s="14" t="e">
        <f>#REF!+#REF!</f>
        <v>#REF!</v>
      </c>
      <c r="Q64" s="14" t="e">
        <f>#REF!+#REF!</f>
        <v>#REF!</v>
      </c>
      <c r="R64" s="14" t="e">
        <f>#REF!+#REF!</f>
        <v>#REF!</v>
      </c>
      <c r="S64" s="14" t="e">
        <f t="shared" si="0"/>
        <v>#REF!</v>
      </c>
      <c r="T64" s="14"/>
    </row>
    <row r="65" spans="1:20" ht="17.5" customHeight="1">
      <c r="A65" s="22"/>
      <c r="B65" s="34">
        <v>78626</v>
      </c>
      <c r="C65" s="14" t="s">
        <v>71</v>
      </c>
      <c r="D65" s="20" t="s">
        <v>16</v>
      </c>
      <c r="E65" s="20" t="s">
        <v>14</v>
      </c>
      <c r="F65" s="20"/>
      <c r="G65" s="14" t="e">
        <f>#REF!+#REF!</f>
        <v>#REF!</v>
      </c>
      <c r="H65" s="14" t="e">
        <f>#REF!+#REF!</f>
        <v>#REF!</v>
      </c>
      <c r="I65" s="14" t="e">
        <f>#REF!+#REF!</f>
        <v>#REF!</v>
      </c>
      <c r="J65" s="14" t="e">
        <f>#REF!+#REF!</f>
        <v>#REF!</v>
      </c>
      <c r="K65" s="14" t="e">
        <f>#REF!+#REF!</f>
        <v>#REF!</v>
      </c>
      <c r="L65" s="14" t="e">
        <f>#REF!+#REF!</f>
        <v>#REF!</v>
      </c>
      <c r="M65" s="14" t="e">
        <f>#REF!+#REF!</f>
        <v>#REF!</v>
      </c>
      <c r="N65" s="14" t="e">
        <f>#REF!+#REF!</f>
        <v>#REF!</v>
      </c>
      <c r="O65" s="14" t="e">
        <f>#REF!+#REF!</f>
        <v>#REF!</v>
      </c>
      <c r="P65" s="14" t="e">
        <f>#REF!+#REF!</f>
        <v>#REF!</v>
      </c>
      <c r="Q65" s="14" t="e">
        <f>#REF!+#REF!</f>
        <v>#REF!</v>
      </c>
      <c r="R65" s="14" t="e">
        <f>#REF!+#REF!</f>
        <v>#REF!</v>
      </c>
      <c r="S65" s="14" t="e">
        <f t="shared" si="0"/>
        <v>#REF!</v>
      </c>
      <c r="T65" s="14"/>
    </row>
    <row r="66" spans="1:20" ht="17.5" customHeight="1">
      <c r="A66" s="22"/>
      <c r="B66" s="34">
        <v>78627</v>
      </c>
      <c r="C66" s="14" t="s">
        <v>72</v>
      </c>
      <c r="D66" s="20" t="s">
        <v>16</v>
      </c>
      <c r="E66" s="20" t="s">
        <v>14</v>
      </c>
      <c r="F66" s="20">
        <v>799000</v>
      </c>
      <c r="G66" s="14" t="e">
        <f>#REF!+#REF!</f>
        <v>#REF!</v>
      </c>
      <c r="H66" s="14" t="e">
        <f>#REF!+#REF!</f>
        <v>#REF!</v>
      </c>
      <c r="I66" s="14" t="e">
        <f>#REF!+#REF!</f>
        <v>#REF!</v>
      </c>
      <c r="J66" s="14" t="e">
        <f>#REF!+#REF!</f>
        <v>#REF!</v>
      </c>
      <c r="K66" s="14" t="e">
        <f>#REF!+#REF!</f>
        <v>#REF!</v>
      </c>
      <c r="L66" s="14" t="e">
        <f>#REF!+#REF!</f>
        <v>#REF!</v>
      </c>
      <c r="M66" s="14" t="e">
        <f>#REF!+#REF!</f>
        <v>#REF!</v>
      </c>
      <c r="N66" s="14" t="e">
        <f>#REF!+#REF!</f>
        <v>#REF!</v>
      </c>
      <c r="O66" s="14" t="e">
        <f>#REF!+#REF!</f>
        <v>#REF!</v>
      </c>
      <c r="P66" s="14" t="e">
        <f>#REF!+#REF!</f>
        <v>#REF!</v>
      </c>
      <c r="Q66" s="14" t="e">
        <f>#REF!+#REF!</f>
        <v>#REF!</v>
      </c>
      <c r="R66" s="14" t="e">
        <f>#REF!+#REF!</f>
        <v>#REF!</v>
      </c>
      <c r="S66" s="14" t="e">
        <f t="shared" si="0"/>
        <v>#REF!</v>
      </c>
      <c r="T66" s="14"/>
    </row>
    <row r="67" spans="1:20" ht="17.5" customHeight="1">
      <c r="A67" s="22"/>
      <c r="B67" s="34">
        <v>78628</v>
      </c>
      <c r="C67" s="14" t="s">
        <v>73</v>
      </c>
      <c r="D67" s="20" t="s">
        <v>16</v>
      </c>
      <c r="E67" s="20" t="s">
        <v>14</v>
      </c>
      <c r="F67" s="20"/>
      <c r="G67" s="14" t="e">
        <f>#REF!+#REF!</f>
        <v>#REF!</v>
      </c>
      <c r="H67" s="14" t="e">
        <f>#REF!+#REF!</f>
        <v>#REF!</v>
      </c>
      <c r="I67" s="14" t="e">
        <f>#REF!+#REF!</f>
        <v>#REF!</v>
      </c>
      <c r="J67" s="14" t="e">
        <f>#REF!+#REF!</f>
        <v>#REF!</v>
      </c>
      <c r="K67" s="14" t="e">
        <f>#REF!+#REF!</f>
        <v>#REF!</v>
      </c>
      <c r="L67" s="14" t="e">
        <f>#REF!+#REF!</f>
        <v>#REF!</v>
      </c>
      <c r="M67" s="14" t="e">
        <f>#REF!+#REF!</f>
        <v>#REF!</v>
      </c>
      <c r="N67" s="14" t="e">
        <f>#REF!+#REF!</f>
        <v>#REF!</v>
      </c>
      <c r="O67" s="14" t="e">
        <f>#REF!+#REF!</f>
        <v>#REF!</v>
      </c>
      <c r="P67" s="14" t="e">
        <f>#REF!+#REF!</f>
        <v>#REF!</v>
      </c>
      <c r="Q67" s="14" t="e">
        <f>#REF!+#REF!</f>
        <v>#REF!</v>
      </c>
      <c r="R67" s="14" t="e">
        <f>#REF!+#REF!</f>
        <v>#REF!</v>
      </c>
      <c r="S67" s="14" t="e">
        <f t="shared" si="0"/>
        <v>#REF!</v>
      </c>
      <c r="T67" s="14"/>
    </row>
    <row r="68" spans="1:20" ht="17.5" customHeight="1">
      <c r="A68" s="22"/>
      <c r="B68" s="34">
        <v>78630</v>
      </c>
      <c r="C68" s="14" t="s">
        <v>74</v>
      </c>
      <c r="D68" s="20" t="s">
        <v>16</v>
      </c>
      <c r="E68" s="20" t="s">
        <v>14</v>
      </c>
      <c r="F68" s="20"/>
      <c r="G68" s="14" t="e">
        <f>#REF!+#REF!</f>
        <v>#REF!</v>
      </c>
      <c r="H68" s="14" t="e">
        <f>#REF!+#REF!</f>
        <v>#REF!</v>
      </c>
      <c r="I68" s="14" t="e">
        <f>#REF!+#REF!</f>
        <v>#REF!</v>
      </c>
      <c r="J68" s="14" t="e">
        <f>#REF!+#REF!</f>
        <v>#REF!</v>
      </c>
      <c r="K68" s="14" t="e">
        <f>#REF!+#REF!</f>
        <v>#REF!</v>
      </c>
      <c r="L68" s="14" t="e">
        <f>#REF!+#REF!</f>
        <v>#REF!</v>
      </c>
      <c r="M68" s="14" t="e">
        <f>#REF!+#REF!</f>
        <v>#REF!</v>
      </c>
      <c r="N68" s="14" t="e">
        <f>#REF!+#REF!</f>
        <v>#REF!</v>
      </c>
      <c r="O68" s="14" t="e">
        <f>#REF!+#REF!</f>
        <v>#REF!</v>
      </c>
      <c r="P68" s="14" t="e">
        <f>#REF!+#REF!</f>
        <v>#REF!</v>
      </c>
      <c r="Q68" s="14" t="e">
        <f>#REF!+#REF!</f>
        <v>#REF!</v>
      </c>
      <c r="R68" s="14" t="e">
        <f>#REF!+#REF!</f>
        <v>#REF!</v>
      </c>
      <c r="S68" s="14" t="e">
        <f t="shared" si="0"/>
        <v>#REF!</v>
      </c>
      <c r="T68" s="14"/>
    </row>
    <row r="69" spans="1:20" ht="17.5" customHeight="1">
      <c r="A69" s="22"/>
      <c r="B69" s="34">
        <v>78631</v>
      </c>
      <c r="C69" s="14" t="s">
        <v>75</v>
      </c>
      <c r="D69" s="20" t="s">
        <v>16</v>
      </c>
      <c r="E69" s="20" t="s">
        <v>14</v>
      </c>
      <c r="F69" s="20">
        <v>799000</v>
      </c>
      <c r="G69" s="14" t="e">
        <f>#REF!+#REF!</f>
        <v>#REF!</v>
      </c>
      <c r="H69" s="14" t="e">
        <f>#REF!+#REF!</f>
        <v>#REF!</v>
      </c>
      <c r="I69" s="14" t="e">
        <f>#REF!+#REF!</f>
        <v>#REF!</v>
      </c>
      <c r="J69" s="14" t="e">
        <f>#REF!+#REF!</f>
        <v>#REF!</v>
      </c>
      <c r="K69" s="14" t="e">
        <f>#REF!+#REF!</f>
        <v>#REF!</v>
      </c>
      <c r="L69" s="14" t="e">
        <f>#REF!+#REF!</f>
        <v>#REF!</v>
      </c>
      <c r="M69" s="14" t="e">
        <f>#REF!+#REF!</f>
        <v>#REF!</v>
      </c>
      <c r="N69" s="14" t="e">
        <f>#REF!+#REF!</f>
        <v>#REF!</v>
      </c>
      <c r="O69" s="14" t="e">
        <f>#REF!+#REF!</f>
        <v>#REF!</v>
      </c>
      <c r="P69" s="14" t="e">
        <f>#REF!+#REF!</f>
        <v>#REF!</v>
      </c>
      <c r="Q69" s="14" t="e">
        <f>#REF!+#REF!</f>
        <v>#REF!</v>
      </c>
      <c r="R69" s="14" t="e">
        <f>#REF!+#REF!</f>
        <v>#REF!</v>
      </c>
      <c r="S69" s="14" t="e">
        <f t="shared" si="0"/>
        <v>#REF!</v>
      </c>
      <c r="T69" s="14"/>
    </row>
    <row r="70" spans="1:20" ht="17.5" customHeight="1">
      <c r="A70" s="22"/>
      <c r="B70" s="34">
        <v>78632</v>
      </c>
      <c r="C70" s="14" t="s">
        <v>76</v>
      </c>
      <c r="D70" s="20" t="s">
        <v>16</v>
      </c>
      <c r="E70" s="20" t="s">
        <v>14</v>
      </c>
      <c r="F70" s="58">
        <v>796000</v>
      </c>
      <c r="G70" s="14" t="e">
        <f>#REF!+#REF!</f>
        <v>#REF!</v>
      </c>
      <c r="H70" s="14" t="e">
        <f>#REF!+#REF!</f>
        <v>#REF!</v>
      </c>
      <c r="I70" s="14" t="e">
        <f>#REF!+#REF!</f>
        <v>#REF!</v>
      </c>
      <c r="J70" s="14" t="e">
        <f>#REF!+#REF!</f>
        <v>#REF!</v>
      </c>
      <c r="K70" s="14" t="e">
        <f>#REF!+#REF!</f>
        <v>#REF!</v>
      </c>
      <c r="L70" s="14" t="e">
        <f>#REF!+#REF!</f>
        <v>#REF!</v>
      </c>
      <c r="M70" s="14" t="e">
        <f>#REF!+#REF!</f>
        <v>#REF!</v>
      </c>
      <c r="N70" s="14" t="e">
        <f>#REF!+#REF!</f>
        <v>#REF!</v>
      </c>
      <c r="O70" s="14" t="e">
        <f>#REF!+#REF!</f>
        <v>#REF!</v>
      </c>
      <c r="P70" s="14" t="e">
        <f>#REF!+#REF!</f>
        <v>#REF!</v>
      </c>
      <c r="Q70" s="14" t="e">
        <f>#REF!+#REF!</f>
        <v>#REF!</v>
      </c>
      <c r="R70" s="14" t="e">
        <f>#REF!+#REF!</f>
        <v>#REF!</v>
      </c>
      <c r="S70" s="14" t="e">
        <f t="shared" si="0"/>
        <v>#REF!</v>
      </c>
      <c r="T70" s="14"/>
    </row>
    <row r="71" spans="1:20" ht="17.5" customHeight="1">
      <c r="A71" s="22"/>
      <c r="B71" s="34">
        <v>78633</v>
      </c>
      <c r="C71" s="14" t="s">
        <v>77</v>
      </c>
      <c r="D71" s="20" t="s">
        <v>16</v>
      </c>
      <c r="E71" s="20" t="s">
        <v>14</v>
      </c>
      <c r="F71" s="20"/>
      <c r="G71" s="14" t="e">
        <f>#REF!+#REF!</f>
        <v>#REF!</v>
      </c>
      <c r="H71" s="14" t="e">
        <f>#REF!+#REF!</f>
        <v>#REF!</v>
      </c>
      <c r="I71" s="14" t="e">
        <f>#REF!+#REF!</f>
        <v>#REF!</v>
      </c>
      <c r="J71" s="14" t="e">
        <f>#REF!+#REF!</f>
        <v>#REF!</v>
      </c>
      <c r="K71" s="14" t="e">
        <f>#REF!+#REF!</f>
        <v>#REF!</v>
      </c>
      <c r="L71" s="14" t="e">
        <f>#REF!+#REF!</f>
        <v>#REF!</v>
      </c>
      <c r="M71" s="14" t="e">
        <f>#REF!+#REF!</f>
        <v>#REF!</v>
      </c>
      <c r="N71" s="14" t="e">
        <f>#REF!+#REF!</f>
        <v>#REF!</v>
      </c>
      <c r="O71" s="14" t="e">
        <f>#REF!+#REF!</f>
        <v>#REF!</v>
      </c>
      <c r="P71" s="14" t="e">
        <f>#REF!+#REF!</f>
        <v>#REF!</v>
      </c>
      <c r="Q71" s="14" t="e">
        <f>#REF!+#REF!</f>
        <v>#REF!</v>
      </c>
      <c r="R71" s="14" t="e">
        <f>#REF!+#REF!</f>
        <v>#REF!</v>
      </c>
      <c r="S71" s="14" t="e">
        <f t="shared" si="0"/>
        <v>#REF!</v>
      </c>
      <c r="T71" s="14"/>
    </row>
    <row r="72" spans="1:20" ht="17.5" customHeight="1">
      <c r="A72" s="22"/>
      <c r="B72" s="34">
        <v>78635</v>
      </c>
      <c r="C72" s="14" t="s">
        <v>78</v>
      </c>
      <c r="D72" s="20" t="s">
        <v>16</v>
      </c>
      <c r="E72" s="20" t="s">
        <v>14</v>
      </c>
      <c r="F72" s="20">
        <v>799000</v>
      </c>
      <c r="G72" s="14" t="e">
        <f>#REF!+#REF!</f>
        <v>#REF!</v>
      </c>
      <c r="H72" s="14" t="e">
        <f>#REF!+#REF!</f>
        <v>#REF!</v>
      </c>
      <c r="I72" s="14" t="e">
        <f>#REF!+#REF!</f>
        <v>#REF!</v>
      </c>
      <c r="J72" s="14" t="e">
        <f>#REF!+#REF!</f>
        <v>#REF!</v>
      </c>
      <c r="K72" s="14" t="e">
        <f>#REF!+#REF!</f>
        <v>#REF!</v>
      </c>
      <c r="L72" s="14" t="e">
        <f>#REF!+#REF!</f>
        <v>#REF!</v>
      </c>
      <c r="M72" s="14" t="e">
        <f>#REF!+#REF!</f>
        <v>#REF!</v>
      </c>
      <c r="N72" s="14" t="e">
        <f>#REF!+#REF!</f>
        <v>#REF!</v>
      </c>
      <c r="O72" s="14" t="e">
        <f>#REF!+#REF!</f>
        <v>#REF!</v>
      </c>
      <c r="P72" s="14" t="e">
        <f>#REF!+#REF!</f>
        <v>#REF!</v>
      </c>
      <c r="Q72" s="14" t="e">
        <f>#REF!+#REF!</f>
        <v>#REF!</v>
      </c>
      <c r="R72" s="14" t="e">
        <f>#REF!+#REF!</f>
        <v>#REF!</v>
      </c>
      <c r="S72" s="14" t="e">
        <f t="shared" ref="S72:S91" si="1">SUM(G72:R72)</f>
        <v>#REF!</v>
      </c>
      <c r="T72" s="14"/>
    </row>
    <row r="73" spans="1:20" ht="17.5" customHeight="1">
      <c r="A73" s="22"/>
      <c r="B73" s="34">
        <v>78636</v>
      </c>
      <c r="C73" s="14" t="s">
        <v>79</v>
      </c>
      <c r="D73" s="20" t="s">
        <v>16</v>
      </c>
      <c r="E73" s="20" t="s">
        <v>14</v>
      </c>
      <c r="F73" s="20"/>
      <c r="G73" s="14" t="e">
        <f>#REF!+#REF!</f>
        <v>#REF!</v>
      </c>
      <c r="H73" s="14" t="e">
        <f>#REF!+#REF!</f>
        <v>#REF!</v>
      </c>
      <c r="I73" s="14" t="e">
        <f>#REF!+#REF!</f>
        <v>#REF!</v>
      </c>
      <c r="J73" s="14" t="e">
        <f>#REF!+#REF!</f>
        <v>#REF!</v>
      </c>
      <c r="K73" s="14" t="e">
        <f>#REF!+#REF!</f>
        <v>#REF!</v>
      </c>
      <c r="L73" s="14" t="e">
        <f>#REF!+#REF!</f>
        <v>#REF!</v>
      </c>
      <c r="M73" s="14" t="e">
        <f>#REF!+#REF!</f>
        <v>#REF!</v>
      </c>
      <c r="N73" s="14" t="e">
        <f>#REF!+#REF!</f>
        <v>#REF!</v>
      </c>
      <c r="O73" s="14" t="e">
        <f>#REF!+#REF!</f>
        <v>#REF!</v>
      </c>
      <c r="P73" s="14" t="e">
        <f>#REF!+#REF!</f>
        <v>#REF!</v>
      </c>
      <c r="Q73" s="14" t="e">
        <f>#REF!+#REF!</f>
        <v>#REF!</v>
      </c>
      <c r="R73" s="14" t="e">
        <f>#REF!+#REF!</f>
        <v>#REF!</v>
      </c>
      <c r="S73" s="14" t="e">
        <f t="shared" si="1"/>
        <v>#REF!</v>
      </c>
      <c r="T73" s="14"/>
    </row>
    <row r="74" spans="1:20" ht="17.5" customHeight="1">
      <c r="A74" s="22"/>
      <c r="B74" s="34">
        <v>78637</v>
      </c>
      <c r="C74" s="14" t="s">
        <v>80</v>
      </c>
      <c r="D74" s="20" t="s">
        <v>16</v>
      </c>
      <c r="E74" s="20" t="s">
        <v>14</v>
      </c>
      <c r="F74" s="20"/>
      <c r="G74" s="14" t="e">
        <f>#REF!+#REF!</f>
        <v>#REF!</v>
      </c>
      <c r="H74" s="14" t="e">
        <f>#REF!+#REF!</f>
        <v>#REF!</v>
      </c>
      <c r="I74" s="14" t="e">
        <f>#REF!+#REF!</f>
        <v>#REF!</v>
      </c>
      <c r="J74" s="14" t="e">
        <f>#REF!+#REF!</f>
        <v>#REF!</v>
      </c>
      <c r="K74" s="14" t="e">
        <f>#REF!+#REF!</f>
        <v>#REF!</v>
      </c>
      <c r="L74" s="14" t="e">
        <f>#REF!+#REF!</f>
        <v>#REF!</v>
      </c>
      <c r="M74" s="14" t="e">
        <f>#REF!+#REF!</f>
        <v>#REF!</v>
      </c>
      <c r="N74" s="14" t="e">
        <f>#REF!+#REF!</f>
        <v>#REF!</v>
      </c>
      <c r="O74" s="14" t="e">
        <f>#REF!+#REF!</f>
        <v>#REF!</v>
      </c>
      <c r="P74" s="14" t="e">
        <f>#REF!+#REF!</f>
        <v>#REF!</v>
      </c>
      <c r="Q74" s="14" t="e">
        <f>#REF!+#REF!</f>
        <v>#REF!</v>
      </c>
      <c r="R74" s="14" t="e">
        <f>#REF!+#REF!</f>
        <v>#REF!</v>
      </c>
      <c r="S74" s="14" t="e">
        <f t="shared" si="1"/>
        <v>#REF!</v>
      </c>
      <c r="T74" s="14"/>
    </row>
    <row r="75" spans="1:20" ht="17.5" customHeight="1">
      <c r="A75" s="22"/>
      <c r="B75" s="34">
        <v>78639</v>
      </c>
      <c r="C75" s="14" t="s">
        <v>81</v>
      </c>
      <c r="D75" s="20" t="s">
        <v>16</v>
      </c>
      <c r="E75" s="20" t="s">
        <v>14</v>
      </c>
      <c r="F75" s="20"/>
      <c r="G75" s="14" t="e">
        <f>#REF!+#REF!</f>
        <v>#REF!</v>
      </c>
      <c r="H75" s="14" t="e">
        <f>#REF!+#REF!</f>
        <v>#REF!</v>
      </c>
      <c r="I75" s="14" t="e">
        <f>#REF!+#REF!</f>
        <v>#REF!</v>
      </c>
      <c r="J75" s="14" t="e">
        <f>#REF!+#REF!</f>
        <v>#REF!</v>
      </c>
      <c r="K75" s="14" t="e">
        <f>#REF!+#REF!</f>
        <v>#REF!</v>
      </c>
      <c r="L75" s="14" t="e">
        <f>#REF!+#REF!</f>
        <v>#REF!</v>
      </c>
      <c r="M75" s="14" t="e">
        <f>#REF!+#REF!</f>
        <v>#REF!</v>
      </c>
      <c r="N75" s="14" t="e">
        <f>#REF!+#REF!</f>
        <v>#REF!</v>
      </c>
      <c r="O75" s="14" t="e">
        <f>#REF!+#REF!</f>
        <v>#REF!</v>
      </c>
      <c r="P75" s="14" t="e">
        <f>#REF!+#REF!</f>
        <v>#REF!</v>
      </c>
      <c r="Q75" s="14" t="e">
        <f>#REF!+#REF!</f>
        <v>#REF!</v>
      </c>
      <c r="R75" s="14" t="e">
        <f>#REF!+#REF!</f>
        <v>#REF!</v>
      </c>
      <c r="S75" s="14" t="e">
        <f t="shared" si="1"/>
        <v>#REF!</v>
      </c>
      <c r="T75" s="14"/>
    </row>
    <row r="76" spans="1:20" ht="17.5" customHeight="1">
      <c r="A76" s="22"/>
      <c r="B76" s="34">
        <v>78671</v>
      </c>
      <c r="C76" s="14" t="s">
        <v>82</v>
      </c>
      <c r="D76" s="20" t="s">
        <v>16</v>
      </c>
      <c r="E76" s="20" t="s">
        <v>14</v>
      </c>
      <c r="F76" s="20">
        <v>799040</v>
      </c>
      <c r="G76" s="14" t="e">
        <f>#REF!+#REF!</f>
        <v>#REF!</v>
      </c>
      <c r="H76" s="14" t="e">
        <f>#REF!+#REF!</f>
        <v>#REF!</v>
      </c>
      <c r="I76" s="14" t="e">
        <f>#REF!+#REF!</f>
        <v>#REF!</v>
      </c>
      <c r="J76" s="14" t="e">
        <f>#REF!+#REF!</f>
        <v>#REF!</v>
      </c>
      <c r="K76" s="14" t="e">
        <f>#REF!+#REF!</f>
        <v>#REF!</v>
      </c>
      <c r="L76" s="14" t="e">
        <f>#REF!+#REF!</f>
        <v>#REF!</v>
      </c>
      <c r="M76" s="14" t="e">
        <f>#REF!+#REF!</f>
        <v>#REF!</v>
      </c>
      <c r="N76" s="14" t="e">
        <f>#REF!+#REF!</f>
        <v>#REF!</v>
      </c>
      <c r="O76" s="14" t="e">
        <f>#REF!+#REF!</f>
        <v>#REF!</v>
      </c>
      <c r="P76" s="14" t="e">
        <f>#REF!+#REF!</f>
        <v>#REF!</v>
      </c>
      <c r="Q76" s="14" t="e">
        <f>#REF!+#REF!</f>
        <v>#REF!</v>
      </c>
      <c r="R76" s="14" t="e">
        <f>#REF!+#REF!</f>
        <v>#REF!</v>
      </c>
      <c r="S76" s="14" t="e">
        <f t="shared" si="1"/>
        <v>#REF!</v>
      </c>
      <c r="T76" s="14"/>
    </row>
    <row r="77" spans="1:20" ht="17.5" customHeight="1">
      <c r="A77" s="22"/>
      <c r="B77" s="34">
        <v>78693</v>
      </c>
      <c r="C77" s="14" t="s">
        <v>83</v>
      </c>
      <c r="D77" s="20" t="s">
        <v>16</v>
      </c>
      <c r="E77" s="20" t="s">
        <v>14</v>
      </c>
      <c r="F77" s="20"/>
      <c r="G77" s="14" t="e">
        <f>#REF!+#REF!</f>
        <v>#REF!</v>
      </c>
      <c r="H77" s="14" t="e">
        <f>#REF!+#REF!</f>
        <v>#REF!</v>
      </c>
      <c r="I77" s="14" t="e">
        <f>#REF!+#REF!</f>
        <v>#REF!</v>
      </c>
      <c r="J77" s="14" t="e">
        <f>#REF!+#REF!</f>
        <v>#REF!</v>
      </c>
      <c r="K77" s="14" t="e">
        <f>#REF!+#REF!</f>
        <v>#REF!</v>
      </c>
      <c r="L77" s="14" t="e">
        <f>#REF!+#REF!</f>
        <v>#REF!</v>
      </c>
      <c r="M77" s="14" t="e">
        <f>#REF!+#REF!</f>
        <v>#REF!</v>
      </c>
      <c r="N77" s="14" t="e">
        <f>#REF!+#REF!</f>
        <v>#REF!</v>
      </c>
      <c r="O77" s="14" t="e">
        <f>#REF!+#REF!</f>
        <v>#REF!</v>
      </c>
      <c r="P77" s="14" t="e">
        <f>#REF!+#REF!</f>
        <v>#REF!</v>
      </c>
      <c r="Q77" s="14" t="e">
        <f>#REF!+#REF!</f>
        <v>#REF!</v>
      </c>
      <c r="R77" s="14" t="e">
        <f>#REF!+#REF!</f>
        <v>#REF!</v>
      </c>
      <c r="S77" s="14" t="e">
        <f t="shared" si="1"/>
        <v>#REF!</v>
      </c>
      <c r="T77" s="14"/>
    </row>
    <row r="78" spans="1:20" ht="17.5" customHeight="1">
      <c r="A78" s="22"/>
      <c r="B78" s="34">
        <v>78699</v>
      </c>
      <c r="C78" s="14" t="s">
        <v>84</v>
      </c>
      <c r="D78" s="20" t="s">
        <v>16</v>
      </c>
      <c r="E78" s="20" t="s">
        <v>14</v>
      </c>
      <c r="F78" s="20"/>
      <c r="G78" s="14" t="e">
        <f>#REF!+#REF!</f>
        <v>#REF!</v>
      </c>
      <c r="H78" s="14" t="e">
        <f>#REF!+#REF!</f>
        <v>#REF!</v>
      </c>
      <c r="I78" s="14" t="e">
        <f>#REF!+#REF!</f>
        <v>#REF!</v>
      </c>
      <c r="J78" s="14" t="e">
        <f>#REF!+#REF!</f>
        <v>#REF!</v>
      </c>
      <c r="K78" s="14" t="e">
        <f>#REF!+#REF!</f>
        <v>#REF!</v>
      </c>
      <c r="L78" s="14" t="e">
        <f>#REF!+#REF!</f>
        <v>#REF!</v>
      </c>
      <c r="M78" s="14" t="e">
        <f>#REF!+#REF!</f>
        <v>#REF!</v>
      </c>
      <c r="N78" s="14" t="e">
        <f>#REF!+#REF!</f>
        <v>#REF!</v>
      </c>
      <c r="O78" s="14" t="e">
        <f>#REF!+#REF!</f>
        <v>#REF!</v>
      </c>
      <c r="P78" s="14" t="e">
        <f>#REF!+#REF!</f>
        <v>#REF!</v>
      </c>
      <c r="Q78" s="14" t="e">
        <f>#REF!+#REF!</f>
        <v>#REF!</v>
      </c>
      <c r="R78" s="14" t="e">
        <f>#REF!+#REF!</f>
        <v>#REF!</v>
      </c>
      <c r="S78" s="14" t="e">
        <f t="shared" si="1"/>
        <v>#REF!</v>
      </c>
      <c r="T78" s="14"/>
    </row>
    <row r="79" spans="1:20" ht="17.5" customHeight="1">
      <c r="A79" s="22"/>
      <c r="B79" s="34">
        <v>78731</v>
      </c>
      <c r="C79" s="14" t="s">
        <v>85</v>
      </c>
      <c r="D79" s="20" t="s">
        <v>16</v>
      </c>
      <c r="E79" s="20" t="s">
        <v>14</v>
      </c>
      <c r="F79" s="20"/>
      <c r="G79" s="14" t="e">
        <f>#REF!+#REF!</f>
        <v>#REF!</v>
      </c>
      <c r="H79" s="14" t="e">
        <f>#REF!+#REF!</f>
        <v>#REF!</v>
      </c>
      <c r="I79" s="14" t="e">
        <f>#REF!+#REF!</f>
        <v>#REF!</v>
      </c>
      <c r="J79" s="14" t="e">
        <f>#REF!+#REF!</f>
        <v>#REF!</v>
      </c>
      <c r="K79" s="14" t="e">
        <f>#REF!+#REF!</f>
        <v>#REF!</v>
      </c>
      <c r="L79" s="14" t="e">
        <f>#REF!+#REF!</f>
        <v>#REF!</v>
      </c>
      <c r="M79" s="14" t="e">
        <f>#REF!+#REF!</f>
        <v>#REF!</v>
      </c>
      <c r="N79" s="14" t="e">
        <f>#REF!+#REF!</f>
        <v>#REF!</v>
      </c>
      <c r="O79" s="14" t="e">
        <f>#REF!+#REF!</f>
        <v>#REF!</v>
      </c>
      <c r="P79" s="14" t="e">
        <f>#REF!+#REF!</f>
        <v>#REF!</v>
      </c>
      <c r="Q79" s="14" t="e">
        <f>#REF!+#REF!</f>
        <v>#REF!</v>
      </c>
      <c r="R79" s="14" t="e">
        <f>#REF!+#REF!</f>
        <v>#REF!</v>
      </c>
      <c r="S79" s="14" t="e">
        <f t="shared" si="1"/>
        <v>#REF!</v>
      </c>
      <c r="T79" s="14"/>
    </row>
    <row r="80" spans="1:20" ht="17.5" customHeight="1">
      <c r="A80" s="22"/>
      <c r="B80" s="34">
        <v>78755</v>
      </c>
      <c r="C80" s="14" t="s">
        <v>86</v>
      </c>
      <c r="D80" s="20" t="s">
        <v>16</v>
      </c>
      <c r="E80" s="20" t="s">
        <v>14</v>
      </c>
      <c r="F80" s="20"/>
      <c r="G80" s="14" t="e">
        <f>#REF!+#REF!</f>
        <v>#REF!</v>
      </c>
      <c r="H80" s="14" t="e">
        <f>#REF!+#REF!</f>
        <v>#REF!</v>
      </c>
      <c r="I80" s="14" t="e">
        <f>#REF!+#REF!</f>
        <v>#REF!</v>
      </c>
      <c r="J80" s="14" t="e">
        <f>#REF!+#REF!</f>
        <v>#REF!</v>
      </c>
      <c r="K80" s="14" t="e">
        <f>#REF!+#REF!</f>
        <v>#REF!</v>
      </c>
      <c r="L80" s="14" t="e">
        <f>#REF!+#REF!</f>
        <v>#REF!</v>
      </c>
      <c r="M80" s="14" t="e">
        <f>#REF!+#REF!</f>
        <v>#REF!</v>
      </c>
      <c r="N80" s="14" t="e">
        <f>#REF!+#REF!</f>
        <v>#REF!</v>
      </c>
      <c r="O80" s="14" t="e">
        <f>#REF!+#REF!</f>
        <v>#REF!</v>
      </c>
      <c r="P80" s="14" t="e">
        <f>#REF!+#REF!</f>
        <v>#REF!</v>
      </c>
      <c r="Q80" s="14" t="e">
        <f>#REF!+#REF!</f>
        <v>#REF!</v>
      </c>
      <c r="R80" s="14" t="e">
        <f>#REF!+#REF!</f>
        <v>#REF!</v>
      </c>
      <c r="S80" s="14" t="e">
        <f t="shared" si="1"/>
        <v>#REF!</v>
      </c>
      <c r="T80" s="14"/>
    </row>
    <row r="81" spans="1:20" ht="17.5" customHeight="1">
      <c r="A81" s="22"/>
      <c r="B81" s="34">
        <v>78771</v>
      </c>
      <c r="C81" s="14" t="s">
        <v>87</v>
      </c>
      <c r="D81" s="20" t="s">
        <v>16</v>
      </c>
      <c r="E81" s="20" t="s">
        <v>14</v>
      </c>
      <c r="F81" s="20"/>
      <c r="G81" s="14" t="e">
        <f>#REF!+#REF!</f>
        <v>#REF!</v>
      </c>
      <c r="H81" s="14" t="e">
        <f>#REF!+#REF!</f>
        <v>#REF!</v>
      </c>
      <c r="I81" s="14" t="e">
        <f>#REF!+#REF!</f>
        <v>#REF!</v>
      </c>
      <c r="J81" s="14" t="e">
        <f>#REF!+#REF!</f>
        <v>#REF!</v>
      </c>
      <c r="K81" s="14" t="e">
        <f>#REF!+#REF!</f>
        <v>#REF!</v>
      </c>
      <c r="L81" s="14" t="e">
        <f>#REF!+#REF!</f>
        <v>#REF!</v>
      </c>
      <c r="M81" s="14" t="e">
        <f>#REF!+#REF!</f>
        <v>#REF!</v>
      </c>
      <c r="N81" s="14" t="e">
        <f>#REF!+#REF!</f>
        <v>#REF!</v>
      </c>
      <c r="O81" s="14" t="e">
        <f>#REF!+#REF!</f>
        <v>#REF!</v>
      </c>
      <c r="P81" s="14" t="e">
        <f>#REF!+#REF!</f>
        <v>#REF!</v>
      </c>
      <c r="Q81" s="14" t="e">
        <f>#REF!+#REF!</f>
        <v>#REF!</v>
      </c>
      <c r="R81" s="14" t="e">
        <f>#REF!+#REF!</f>
        <v>#REF!</v>
      </c>
      <c r="S81" s="14" t="e">
        <f t="shared" si="1"/>
        <v>#REF!</v>
      </c>
      <c r="T81" s="14"/>
    </row>
    <row r="82" spans="1:20" ht="17.5" customHeight="1">
      <c r="A82" s="22"/>
      <c r="B82" s="34">
        <v>78751</v>
      </c>
      <c r="C82" s="14" t="s">
        <v>88</v>
      </c>
      <c r="D82" s="20" t="s">
        <v>16</v>
      </c>
      <c r="E82" s="20" t="s">
        <v>14</v>
      </c>
      <c r="F82" s="20"/>
      <c r="G82" s="14" t="e">
        <f>#REF!+#REF!</f>
        <v>#REF!</v>
      </c>
      <c r="H82" s="14" t="e">
        <f>#REF!+#REF!</f>
        <v>#REF!</v>
      </c>
      <c r="I82" s="14" t="e">
        <f>#REF!+#REF!</f>
        <v>#REF!</v>
      </c>
      <c r="J82" s="14" t="e">
        <f>#REF!+#REF!</f>
        <v>#REF!</v>
      </c>
      <c r="K82" s="14" t="e">
        <f>#REF!+#REF!</f>
        <v>#REF!</v>
      </c>
      <c r="L82" s="14" t="e">
        <f>#REF!+#REF!</f>
        <v>#REF!</v>
      </c>
      <c r="M82" s="14" t="e">
        <f>#REF!+#REF!</f>
        <v>#REF!</v>
      </c>
      <c r="N82" s="14" t="e">
        <f>#REF!+#REF!</f>
        <v>#REF!</v>
      </c>
      <c r="O82" s="14" t="e">
        <f>#REF!+#REF!</f>
        <v>#REF!</v>
      </c>
      <c r="P82" s="14" t="e">
        <f>#REF!+#REF!</f>
        <v>#REF!</v>
      </c>
      <c r="Q82" s="14" t="e">
        <f>#REF!+#REF!</f>
        <v>#REF!</v>
      </c>
      <c r="R82" s="14" t="e">
        <f>#REF!+#REF!</f>
        <v>#REF!</v>
      </c>
      <c r="S82" s="14" t="e">
        <f t="shared" si="1"/>
        <v>#REF!</v>
      </c>
      <c r="T82" s="14"/>
    </row>
    <row r="83" spans="1:20" ht="17.5" customHeight="1">
      <c r="A83" s="22"/>
      <c r="B83" s="34">
        <v>78758</v>
      </c>
      <c r="C83" s="14" t="s">
        <v>89</v>
      </c>
      <c r="D83" s="20" t="s">
        <v>16</v>
      </c>
      <c r="E83" s="20" t="s">
        <v>14</v>
      </c>
      <c r="F83" s="20"/>
      <c r="G83" s="14" t="e">
        <f>#REF!+#REF!</f>
        <v>#REF!</v>
      </c>
      <c r="H83" s="14" t="e">
        <f>#REF!+#REF!</f>
        <v>#REF!</v>
      </c>
      <c r="I83" s="14" t="e">
        <f>#REF!+#REF!</f>
        <v>#REF!</v>
      </c>
      <c r="J83" s="14" t="e">
        <f>#REF!+#REF!</f>
        <v>#REF!</v>
      </c>
      <c r="K83" s="14" t="e">
        <f>#REF!+#REF!</f>
        <v>#REF!</v>
      </c>
      <c r="L83" s="14" t="e">
        <f>#REF!+#REF!</f>
        <v>#REF!</v>
      </c>
      <c r="M83" s="14" t="e">
        <f>#REF!+#REF!</f>
        <v>#REF!</v>
      </c>
      <c r="N83" s="14" t="e">
        <f>#REF!+#REF!</f>
        <v>#REF!</v>
      </c>
      <c r="O83" s="14" t="e">
        <f>#REF!+#REF!</f>
        <v>#REF!</v>
      </c>
      <c r="P83" s="14" t="e">
        <f>#REF!+#REF!</f>
        <v>#REF!</v>
      </c>
      <c r="Q83" s="14" t="e">
        <f>#REF!+#REF!</f>
        <v>#REF!</v>
      </c>
      <c r="R83" s="14" t="e">
        <f>#REF!+#REF!</f>
        <v>#REF!</v>
      </c>
      <c r="S83" s="14" t="e">
        <f t="shared" si="1"/>
        <v>#REF!</v>
      </c>
      <c r="T83" s="14"/>
    </row>
    <row r="84" spans="1:20" ht="17.5" customHeight="1">
      <c r="A84" s="22"/>
      <c r="B84" s="34">
        <v>78788</v>
      </c>
      <c r="C84" s="14" t="s">
        <v>90</v>
      </c>
      <c r="D84" s="20" t="s">
        <v>16</v>
      </c>
      <c r="E84" s="20" t="s">
        <v>14</v>
      </c>
      <c r="F84" s="20"/>
      <c r="G84" s="14" t="e">
        <f>#REF!+#REF!</f>
        <v>#REF!</v>
      </c>
      <c r="H84" s="14" t="e">
        <f>#REF!+#REF!</f>
        <v>#REF!</v>
      </c>
      <c r="I84" s="14" t="e">
        <f>#REF!+#REF!</f>
        <v>#REF!</v>
      </c>
      <c r="J84" s="14" t="e">
        <f>#REF!+#REF!</f>
        <v>#REF!</v>
      </c>
      <c r="K84" s="14" t="e">
        <f>#REF!+#REF!</f>
        <v>#REF!</v>
      </c>
      <c r="L84" s="14" t="e">
        <f>#REF!+#REF!</f>
        <v>#REF!</v>
      </c>
      <c r="M84" s="14" t="e">
        <f>#REF!+#REF!</f>
        <v>#REF!</v>
      </c>
      <c r="N84" s="14" t="e">
        <f>#REF!+#REF!</f>
        <v>#REF!</v>
      </c>
      <c r="O84" s="14" t="e">
        <f>#REF!+#REF!</f>
        <v>#REF!</v>
      </c>
      <c r="P84" s="14" t="e">
        <f>#REF!+#REF!</f>
        <v>#REF!</v>
      </c>
      <c r="Q84" s="14" t="e">
        <f>#REF!+#REF!</f>
        <v>#REF!</v>
      </c>
      <c r="R84" s="14" t="e">
        <f>#REF!+#REF!</f>
        <v>#REF!</v>
      </c>
      <c r="S84" s="14" t="e">
        <f t="shared" si="1"/>
        <v>#REF!</v>
      </c>
      <c r="T84" s="14"/>
    </row>
    <row r="85" spans="1:20" ht="17.5" customHeight="1">
      <c r="A85" s="22"/>
      <c r="B85" s="34">
        <v>78798</v>
      </c>
      <c r="C85" s="14" t="s">
        <v>91</v>
      </c>
      <c r="D85" s="20" t="s">
        <v>16</v>
      </c>
      <c r="E85" s="20" t="s">
        <v>14</v>
      </c>
      <c r="F85" s="20"/>
      <c r="G85" s="14" t="e">
        <f>#REF!+#REF!</f>
        <v>#REF!</v>
      </c>
      <c r="H85" s="14" t="e">
        <f>#REF!+#REF!</f>
        <v>#REF!</v>
      </c>
      <c r="I85" s="14" t="e">
        <f>#REF!+#REF!</f>
        <v>#REF!</v>
      </c>
      <c r="J85" s="14" t="e">
        <f>#REF!+#REF!</f>
        <v>#REF!</v>
      </c>
      <c r="K85" s="14" t="e">
        <f>#REF!+#REF!</f>
        <v>#REF!</v>
      </c>
      <c r="L85" s="14" t="e">
        <f>#REF!+#REF!</f>
        <v>#REF!</v>
      </c>
      <c r="M85" s="14" t="e">
        <f>#REF!+#REF!</f>
        <v>#REF!</v>
      </c>
      <c r="N85" s="14" t="e">
        <f>#REF!+#REF!</f>
        <v>#REF!</v>
      </c>
      <c r="O85" s="14" t="e">
        <f>#REF!+#REF!</f>
        <v>#REF!</v>
      </c>
      <c r="P85" s="14" t="e">
        <f>#REF!+#REF!</f>
        <v>#REF!</v>
      </c>
      <c r="Q85" s="14" t="e">
        <f>#REF!+#REF!</f>
        <v>#REF!</v>
      </c>
      <c r="R85" s="14" t="e">
        <f>#REF!+#REF!</f>
        <v>#REF!</v>
      </c>
      <c r="S85" s="14" t="e">
        <f t="shared" si="1"/>
        <v>#REF!</v>
      </c>
      <c r="T85" s="14"/>
    </row>
    <row r="86" spans="1:20" ht="17.5" customHeight="1">
      <c r="A86" s="22"/>
      <c r="B86" s="34">
        <v>78197</v>
      </c>
      <c r="C86" s="14" t="s">
        <v>92</v>
      </c>
      <c r="D86" s="20" t="s">
        <v>16</v>
      </c>
      <c r="E86" s="20" t="s">
        <v>14</v>
      </c>
      <c r="F86" s="20"/>
      <c r="G86" s="14" t="e">
        <f>#REF!+#REF!</f>
        <v>#REF!</v>
      </c>
      <c r="H86" s="14" t="e">
        <f>#REF!+#REF!</f>
        <v>#REF!</v>
      </c>
      <c r="I86" s="14" t="e">
        <f>#REF!+#REF!</f>
        <v>#REF!</v>
      </c>
      <c r="J86" s="14" t="e">
        <f>#REF!+#REF!</f>
        <v>#REF!</v>
      </c>
      <c r="K86" s="14" t="e">
        <f>#REF!+#REF!</f>
        <v>#REF!</v>
      </c>
      <c r="L86" s="14" t="e">
        <f>#REF!+#REF!</f>
        <v>#REF!</v>
      </c>
      <c r="M86" s="14" t="e">
        <f>#REF!+#REF!</f>
        <v>#REF!</v>
      </c>
      <c r="N86" s="14" t="e">
        <f>#REF!+#REF!</f>
        <v>#REF!</v>
      </c>
      <c r="O86" s="14" t="e">
        <f>#REF!+#REF!</f>
        <v>#REF!</v>
      </c>
      <c r="P86" s="14" t="e">
        <f>#REF!+#REF!</f>
        <v>#REF!</v>
      </c>
      <c r="Q86" s="14" t="e">
        <f>#REF!+#REF!</f>
        <v>#REF!</v>
      </c>
      <c r="R86" s="14" t="e">
        <f>#REF!+#REF!</f>
        <v>#REF!</v>
      </c>
      <c r="S86" s="14" t="e">
        <f t="shared" si="1"/>
        <v>#REF!</v>
      </c>
      <c r="T86" s="14"/>
    </row>
    <row r="87" spans="1:20" ht="17.5" customHeight="1">
      <c r="A87" s="22"/>
      <c r="B87" s="34">
        <v>78881</v>
      </c>
      <c r="C87" s="14" t="s">
        <v>93</v>
      </c>
      <c r="D87" s="20" t="s">
        <v>16</v>
      </c>
      <c r="E87" s="20" t="s">
        <v>14</v>
      </c>
      <c r="F87" s="20"/>
      <c r="G87" s="14" t="e">
        <f>#REF!+#REF!</f>
        <v>#REF!</v>
      </c>
      <c r="H87" s="14" t="e">
        <f>#REF!+#REF!</f>
        <v>#REF!</v>
      </c>
      <c r="I87" s="14" t="e">
        <f>#REF!+#REF!</f>
        <v>#REF!</v>
      </c>
      <c r="J87" s="14" t="e">
        <f>#REF!+#REF!</f>
        <v>#REF!</v>
      </c>
      <c r="K87" s="14" t="e">
        <f>#REF!+#REF!</f>
        <v>#REF!</v>
      </c>
      <c r="L87" s="14" t="e">
        <f>#REF!+#REF!</f>
        <v>#REF!</v>
      </c>
      <c r="M87" s="14" t="e">
        <f>#REF!+#REF!</f>
        <v>#REF!</v>
      </c>
      <c r="N87" s="14" t="e">
        <f>#REF!+#REF!</f>
        <v>#REF!</v>
      </c>
      <c r="O87" s="14" t="e">
        <f>#REF!+#REF!</f>
        <v>#REF!</v>
      </c>
      <c r="P87" s="14" t="e">
        <f>#REF!+#REF!</f>
        <v>#REF!</v>
      </c>
      <c r="Q87" s="14" t="e">
        <f>#REF!+#REF!</f>
        <v>#REF!</v>
      </c>
      <c r="R87" s="14" t="e">
        <f>#REF!+#REF!</f>
        <v>#REF!</v>
      </c>
      <c r="S87" s="14" t="e">
        <f t="shared" si="1"/>
        <v>#REF!</v>
      </c>
      <c r="T87" s="14"/>
    </row>
    <row r="88" spans="1:20" ht="17.5" customHeight="1">
      <c r="A88" s="22"/>
      <c r="B88" s="34"/>
      <c r="C88" s="14" t="s">
        <v>172</v>
      </c>
      <c r="D88" s="20" t="s">
        <v>16</v>
      </c>
      <c r="E88" s="20" t="s">
        <v>14</v>
      </c>
      <c r="F88" s="20"/>
      <c r="G88" s="14" t="e">
        <f>#REF!+#REF!</f>
        <v>#REF!</v>
      </c>
      <c r="H88" s="14" t="e">
        <f>#REF!+#REF!</f>
        <v>#REF!</v>
      </c>
      <c r="I88" s="14" t="e">
        <f>#REF!+#REF!</f>
        <v>#REF!</v>
      </c>
      <c r="J88" s="14" t="e">
        <f>#REF!+#REF!</f>
        <v>#REF!</v>
      </c>
      <c r="K88" s="14" t="e">
        <f>#REF!+#REF!</f>
        <v>#REF!</v>
      </c>
      <c r="L88" s="14" t="e">
        <f>#REF!+#REF!</f>
        <v>#REF!</v>
      </c>
      <c r="M88" s="14" t="e">
        <f>#REF!+#REF!</f>
        <v>#REF!</v>
      </c>
      <c r="N88" s="14" t="e">
        <f>#REF!+#REF!</f>
        <v>#REF!</v>
      </c>
      <c r="O88" s="14" t="e">
        <f>#REF!+#REF!</f>
        <v>#REF!</v>
      </c>
      <c r="P88" s="14" t="e">
        <f>#REF!+#REF!</f>
        <v>#REF!</v>
      </c>
      <c r="Q88" s="14" t="e">
        <f>#REF!+#REF!</f>
        <v>#REF!</v>
      </c>
      <c r="R88" s="14" t="e">
        <f>#REF!+#REF!</f>
        <v>#REF!</v>
      </c>
      <c r="S88" s="14" t="e">
        <f t="shared" si="1"/>
        <v>#REF!</v>
      </c>
      <c r="T88" s="14"/>
    </row>
    <row r="89" spans="1:20" ht="17.5" customHeight="1">
      <c r="A89" s="22"/>
      <c r="B89" s="34"/>
      <c r="C89" s="14" t="s">
        <v>173</v>
      </c>
      <c r="D89" s="20"/>
      <c r="E89" s="11"/>
      <c r="F89" s="11"/>
      <c r="G89" s="37" t="e">
        <f>#REF!+#REF!+#REF!</f>
        <v>#REF!</v>
      </c>
      <c r="H89" s="37" t="e">
        <f>#REF!+#REF!+#REF!</f>
        <v>#REF!</v>
      </c>
      <c r="I89" s="37" t="e">
        <f>#REF!+#REF!+#REF!</f>
        <v>#REF!</v>
      </c>
      <c r="J89" s="37" t="e">
        <f>#REF!+#REF!+#REF!</f>
        <v>#REF!</v>
      </c>
      <c r="K89" s="37" t="e">
        <f>#REF!+#REF!+#REF!</f>
        <v>#REF!</v>
      </c>
      <c r="L89" s="37" t="e">
        <f>#REF!+#REF!+#REF!</f>
        <v>#REF!</v>
      </c>
      <c r="M89" s="37" t="e">
        <f>#REF!+#REF!+#REF!</f>
        <v>#REF!</v>
      </c>
      <c r="N89" s="37" t="e">
        <f>#REF!+#REF!+#REF!</f>
        <v>#REF!</v>
      </c>
      <c r="O89" s="37" t="e">
        <f>#REF!+#REF!+#REF!</f>
        <v>#REF!</v>
      </c>
      <c r="P89" s="37" t="e">
        <f>#REF!+#REF!+#REF!</f>
        <v>#REF!</v>
      </c>
      <c r="Q89" s="37" t="e">
        <f>#REF!+#REF!+#REF!</f>
        <v>#REF!</v>
      </c>
      <c r="R89" s="37" t="e">
        <f>#REF!+#REF!+#REF!</f>
        <v>#REF!</v>
      </c>
      <c r="S89" s="14" t="e">
        <f t="shared" si="1"/>
        <v>#REF!</v>
      </c>
      <c r="T89" s="14"/>
    </row>
    <row r="90" spans="1:20" ht="17.5" customHeight="1">
      <c r="A90" s="22"/>
      <c r="B90" s="34"/>
      <c r="C90" s="14"/>
      <c r="D90" s="20"/>
      <c r="E90" s="11"/>
      <c r="F90" s="11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14"/>
      <c r="T90" s="14"/>
    </row>
    <row r="91" spans="1:20" s="2" customFormat="1" ht="17.5" customHeight="1">
      <c r="A91" s="23"/>
      <c r="B91" s="19"/>
      <c r="C91" s="19"/>
      <c r="D91" s="21" t="s">
        <v>6</v>
      </c>
      <c r="E91" s="24"/>
      <c r="F91" s="24"/>
      <c r="G91" s="13" t="e">
        <f>SUM(G6:G89)</f>
        <v>#REF!</v>
      </c>
      <c r="H91" s="13" t="e">
        <f t="shared" ref="H91:R91" si="2">SUM(H6:H89)</f>
        <v>#REF!</v>
      </c>
      <c r="I91" s="13" t="e">
        <f t="shared" si="2"/>
        <v>#REF!</v>
      </c>
      <c r="J91" s="13" t="e">
        <f t="shared" si="2"/>
        <v>#REF!</v>
      </c>
      <c r="K91" s="13" t="e">
        <f t="shared" si="2"/>
        <v>#REF!</v>
      </c>
      <c r="L91" s="13" t="e">
        <f t="shared" si="2"/>
        <v>#REF!</v>
      </c>
      <c r="M91" s="13" t="e">
        <f t="shared" si="2"/>
        <v>#REF!</v>
      </c>
      <c r="N91" s="13" t="e">
        <f t="shared" si="2"/>
        <v>#REF!</v>
      </c>
      <c r="O91" s="13" t="e">
        <f t="shared" si="2"/>
        <v>#REF!</v>
      </c>
      <c r="P91" s="13" t="e">
        <f t="shared" si="2"/>
        <v>#REF!</v>
      </c>
      <c r="Q91" s="13" t="e">
        <f t="shared" si="2"/>
        <v>#REF!</v>
      </c>
      <c r="R91" s="13" t="e">
        <f t="shared" si="2"/>
        <v>#REF!</v>
      </c>
      <c r="S91" s="13" t="e">
        <f t="shared" si="1"/>
        <v>#REF!</v>
      </c>
      <c r="T91" s="13"/>
    </row>
    <row r="92" spans="1:20" ht="17.5" customHeight="1">
      <c r="T92" s="3" t="e">
        <f>#REF!</f>
        <v>#REF!</v>
      </c>
    </row>
    <row r="93" spans="1:20" ht="17.5" customHeight="1">
      <c r="T93" s="3" t="e">
        <f>#REF!</f>
        <v>#REF!</v>
      </c>
    </row>
    <row r="94" spans="1:20" ht="17.5" customHeight="1">
      <c r="A94" s="27"/>
      <c r="T94" s="3" t="e">
        <f>#REF!</f>
        <v>#REF!</v>
      </c>
    </row>
    <row r="95" spans="1:20" ht="17.5" customHeight="1">
      <c r="A95" s="27"/>
      <c r="T95" s="3" t="e">
        <f>#REF!</f>
        <v>#REF!</v>
      </c>
    </row>
    <row r="96" spans="1:20">
      <c r="T96" s="3" t="e">
        <f>#REF!</f>
        <v>#REF!</v>
      </c>
    </row>
    <row r="97" spans="20:20">
      <c r="T97" s="3" t="e">
        <f>#REF!</f>
        <v>#REF!</v>
      </c>
    </row>
    <row r="98" spans="20:20">
      <c r="T98" s="3" t="e">
        <f>#REF!</f>
        <v>#REF!</v>
      </c>
    </row>
  </sheetData>
  <phoneticPr fontId="4" type="noConversion"/>
  <pageMargins left="0" right="0" top="0.19685039370078741" bottom="0" header="0.51181102362204722" footer="0.51181102362204722"/>
  <pageSetup paperSize="9" scale="41" fitToHeight="0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788FA-F08A-49F6-9AE5-A42004438D0A}">
  <sheetPr filterMode="1">
    <tabColor rgb="FF00B050"/>
    <pageSetUpPr fitToPage="1"/>
  </sheetPr>
  <dimension ref="A1:BT110"/>
  <sheetViews>
    <sheetView showZeros="0" tabSelected="1" zoomScale="70" zoomScaleNormal="70" zoomScaleSheetLayoutView="85" workbookViewId="0">
      <pane xSplit="3" ySplit="5" topLeftCell="Y46" activePane="bottomRight" state="frozen"/>
      <selection activeCell="AA6" sqref="AA6"/>
      <selection pane="topRight" activeCell="AA6" sqref="AA6"/>
      <selection pane="bottomLeft" activeCell="AA6" sqref="AA6"/>
      <selection pane="bottomRight" activeCell="AJ60" sqref="AJ60"/>
    </sheetView>
  </sheetViews>
  <sheetFormatPr defaultColWidth="9.1796875" defaultRowHeight="11.5"/>
  <cols>
    <col min="1" max="1" width="10.26953125" style="3" customWidth="1"/>
    <col min="2" max="2" width="13" style="4" bestFit="1" customWidth="1"/>
    <col min="3" max="3" width="29.7265625" style="4" customWidth="1"/>
    <col min="4" max="4" width="10.26953125" style="4" customWidth="1"/>
    <col min="5" max="5" width="9.453125" style="4" customWidth="1"/>
    <col min="6" max="6" width="8.453125" style="4" customWidth="1"/>
    <col min="7" max="7" width="9.54296875" style="9" customWidth="1"/>
    <col min="8" max="8" width="10.1796875" style="9" customWidth="1"/>
    <col min="9" max="10" width="9.54296875" style="9" customWidth="1"/>
    <col min="11" max="11" width="10.1796875" style="9" customWidth="1"/>
    <col min="12" max="12" width="9.54296875" style="9" customWidth="1"/>
    <col min="13" max="27" width="10.6328125" style="9" customWidth="1"/>
    <col min="28" max="32" width="9.54296875" style="9" customWidth="1"/>
    <col min="33" max="33" width="16.1796875" style="3" bestFit="1" customWidth="1"/>
    <col min="34" max="34" width="11" style="3" customWidth="1"/>
    <col min="35" max="35" width="28.7265625" style="3" hidden="1" customWidth="1"/>
    <col min="36" max="36" width="11.1796875" style="3" bestFit="1" customWidth="1"/>
    <col min="37" max="47" width="9.1796875" style="3" customWidth="1"/>
    <col min="48" max="48" width="13" style="3" bestFit="1" customWidth="1"/>
    <col min="49" max="49" width="13" style="32" bestFit="1" customWidth="1"/>
    <col min="50" max="50" width="14.26953125" style="80" bestFit="1" customWidth="1"/>
    <col min="51" max="51" width="11.81640625" style="3" customWidth="1"/>
    <col min="52" max="52" width="11.1796875" style="3" customWidth="1"/>
    <col min="53" max="53" width="12" style="3" customWidth="1"/>
    <col min="54" max="54" width="13" style="3" customWidth="1"/>
    <col min="55" max="16384" width="9.1796875" style="3"/>
  </cols>
  <sheetData>
    <row r="1" spans="1:55" ht="15.5">
      <c r="A1" s="1" t="s">
        <v>117</v>
      </c>
      <c r="C1" s="6"/>
      <c r="D1" s="6"/>
      <c r="E1" s="6"/>
      <c r="F1" s="6"/>
      <c r="G1" s="8"/>
      <c r="H1" s="8"/>
      <c r="I1" s="8"/>
      <c r="J1" s="8"/>
      <c r="K1" s="8"/>
      <c r="L1" s="8"/>
      <c r="M1" s="8"/>
      <c r="N1" s="8"/>
      <c r="O1" s="8"/>
      <c r="P1" s="60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BA1" s="113"/>
    </row>
    <row r="2" spans="1:55" ht="15.5">
      <c r="A2" s="1" t="s">
        <v>203</v>
      </c>
      <c r="C2" s="6"/>
      <c r="D2" s="6"/>
      <c r="E2" s="6"/>
      <c r="F2" s="82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"/>
      <c r="AC2" s="8"/>
      <c r="AD2" s="8"/>
      <c r="AE2" s="8"/>
      <c r="AF2" s="8"/>
      <c r="AJ2" s="114"/>
      <c r="AK2" s="114"/>
      <c r="AL2" s="114"/>
      <c r="AM2" s="114"/>
      <c r="AN2" s="114"/>
      <c r="AO2" s="114"/>
      <c r="AP2" s="114"/>
      <c r="AQ2" s="114"/>
      <c r="AR2" s="114"/>
      <c r="AS2" s="114"/>
      <c r="AT2" s="114"/>
      <c r="AU2" s="114"/>
      <c r="BA2" s="113"/>
    </row>
    <row r="3" spans="1:55" ht="15.5">
      <c r="A3" s="72" t="s">
        <v>202</v>
      </c>
      <c r="B3" s="73"/>
      <c r="C3" s="74"/>
      <c r="D3" s="74"/>
      <c r="E3" s="74"/>
      <c r="F3" s="74"/>
      <c r="G3" s="75">
        <v>18</v>
      </c>
      <c r="H3" s="75">
        <v>18</v>
      </c>
      <c r="I3" s="75">
        <v>18</v>
      </c>
      <c r="J3" s="75">
        <v>18</v>
      </c>
      <c r="K3" s="75">
        <v>18</v>
      </c>
      <c r="L3" s="75">
        <v>18</v>
      </c>
      <c r="M3" s="75">
        <v>18</v>
      </c>
      <c r="N3" s="75">
        <v>18</v>
      </c>
      <c r="O3" s="75">
        <v>18</v>
      </c>
      <c r="P3" s="75">
        <v>19</v>
      </c>
      <c r="Q3" s="75">
        <v>18</v>
      </c>
      <c r="R3" s="75">
        <v>18</v>
      </c>
      <c r="S3" s="75">
        <v>19</v>
      </c>
      <c r="T3" s="75">
        <v>18</v>
      </c>
      <c r="U3" s="75">
        <v>18</v>
      </c>
      <c r="V3" s="75">
        <v>19</v>
      </c>
      <c r="W3" s="75">
        <v>18</v>
      </c>
      <c r="X3" s="75">
        <v>18</v>
      </c>
      <c r="Y3" s="75">
        <v>18</v>
      </c>
      <c r="Z3" s="75">
        <v>18</v>
      </c>
      <c r="AA3" s="75">
        <v>18</v>
      </c>
      <c r="AB3" s="75">
        <v>19</v>
      </c>
      <c r="AC3" s="75">
        <v>19</v>
      </c>
      <c r="AD3" s="75">
        <v>19</v>
      </c>
      <c r="AE3" s="75">
        <v>19</v>
      </c>
      <c r="AF3" s="75">
        <v>19</v>
      </c>
      <c r="AG3" s="56"/>
      <c r="AH3" s="56"/>
      <c r="AI3" s="56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BA3" s="113"/>
    </row>
    <row r="4" spans="1:55" s="4" customFormat="1" ht="17.5" customHeight="1">
      <c r="A4" s="35" t="s">
        <v>97</v>
      </c>
      <c r="D4" s="5"/>
      <c r="E4" s="5"/>
      <c r="F4" s="5"/>
      <c r="G4" s="10" t="s">
        <v>3</v>
      </c>
      <c r="H4" s="10" t="s">
        <v>204</v>
      </c>
      <c r="I4" s="10" t="s">
        <v>205</v>
      </c>
      <c r="J4" s="10" t="s">
        <v>3</v>
      </c>
      <c r="K4" s="10" t="s">
        <v>204</v>
      </c>
      <c r="L4" s="10" t="s">
        <v>205</v>
      </c>
      <c r="M4" s="10" t="s">
        <v>3</v>
      </c>
      <c r="N4" s="10" t="s">
        <v>204</v>
      </c>
      <c r="O4" s="10" t="s">
        <v>205</v>
      </c>
      <c r="P4" s="10" t="s">
        <v>3</v>
      </c>
      <c r="Q4" s="10" t="s">
        <v>204</v>
      </c>
      <c r="R4" s="10" t="s">
        <v>205</v>
      </c>
      <c r="S4" s="10" t="s">
        <v>3</v>
      </c>
      <c r="T4" s="10" t="s">
        <v>204</v>
      </c>
      <c r="U4" s="10" t="s">
        <v>205</v>
      </c>
      <c r="V4" s="10" t="s">
        <v>3</v>
      </c>
      <c r="W4" s="10" t="s">
        <v>204</v>
      </c>
      <c r="X4" s="10" t="s">
        <v>205</v>
      </c>
      <c r="Y4" s="10" t="s">
        <v>167</v>
      </c>
      <c r="Z4" s="10" t="s">
        <v>204</v>
      </c>
      <c r="AA4" s="10" t="s">
        <v>205</v>
      </c>
      <c r="AB4" s="10" t="s">
        <v>3</v>
      </c>
      <c r="AC4" s="10" t="s">
        <v>3</v>
      </c>
      <c r="AD4" s="10" t="s">
        <v>3</v>
      </c>
      <c r="AE4" s="10" t="s">
        <v>3</v>
      </c>
      <c r="AF4" s="10" t="s">
        <v>3</v>
      </c>
      <c r="AG4" s="10" t="s">
        <v>166</v>
      </c>
      <c r="AH4" s="10"/>
      <c r="AI4" s="149" t="s">
        <v>12</v>
      </c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W4" s="115"/>
      <c r="AX4" s="150"/>
      <c r="AY4" s="112"/>
      <c r="BA4" s="113"/>
    </row>
    <row r="5" spans="1:55" s="4" customFormat="1" ht="17.5" customHeight="1" thickBot="1">
      <c r="A5" s="7" t="s">
        <v>4</v>
      </c>
      <c r="B5" s="7" t="s">
        <v>98</v>
      </c>
      <c r="C5" s="7" t="s">
        <v>7</v>
      </c>
      <c r="D5" s="12" t="s">
        <v>11</v>
      </c>
      <c r="E5" s="12" t="s">
        <v>10</v>
      </c>
      <c r="F5" s="12" t="s">
        <v>5</v>
      </c>
      <c r="G5" s="25">
        <v>45962</v>
      </c>
      <c r="H5" s="25">
        <v>45962</v>
      </c>
      <c r="I5" s="25">
        <v>45962</v>
      </c>
      <c r="J5" s="25">
        <v>45992</v>
      </c>
      <c r="K5" s="25">
        <v>45992</v>
      </c>
      <c r="L5" s="25">
        <v>45992</v>
      </c>
      <c r="M5" s="25">
        <v>46023</v>
      </c>
      <c r="N5" s="25">
        <v>46023</v>
      </c>
      <c r="O5" s="25">
        <v>46023</v>
      </c>
      <c r="P5" s="25">
        <v>46054</v>
      </c>
      <c r="Q5" s="25">
        <v>46054</v>
      </c>
      <c r="R5" s="25">
        <v>46054</v>
      </c>
      <c r="S5" s="25">
        <v>46082</v>
      </c>
      <c r="T5" s="25">
        <v>46082</v>
      </c>
      <c r="U5" s="25">
        <v>46082</v>
      </c>
      <c r="V5" s="25">
        <v>46113</v>
      </c>
      <c r="W5" s="25">
        <v>46113</v>
      </c>
      <c r="X5" s="25">
        <v>46113</v>
      </c>
      <c r="Y5" s="25">
        <v>46143</v>
      </c>
      <c r="Z5" s="25">
        <v>46143</v>
      </c>
      <c r="AA5" s="25">
        <v>46143</v>
      </c>
      <c r="AB5" s="25">
        <v>46174</v>
      </c>
      <c r="AC5" s="25">
        <v>46204</v>
      </c>
      <c r="AD5" s="25">
        <v>46235</v>
      </c>
      <c r="AE5" s="25">
        <v>46266</v>
      </c>
      <c r="AF5" s="25">
        <v>46296</v>
      </c>
      <c r="AG5" s="25" t="s">
        <v>192</v>
      </c>
      <c r="AH5" s="25"/>
      <c r="AI5" s="149"/>
      <c r="AJ5" s="114"/>
      <c r="AK5" s="114"/>
      <c r="AL5" s="114"/>
      <c r="AM5" s="114"/>
      <c r="AN5" s="114"/>
      <c r="AO5" s="114"/>
      <c r="AP5" s="114"/>
      <c r="AQ5" s="114"/>
      <c r="AR5" s="114"/>
      <c r="AS5" s="114"/>
      <c r="AT5" s="114"/>
      <c r="AU5" s="114"/>
      <c r="AV5" s="114"/>
      <c r="AW5" s="116"/>
      <c r="AX5" s="151"/>
      <c r="AY5" s="6"/>
      <c r="BA5" s="113"/>
    </row>
    <row r="6" spans="1:55" ht="17.5" hidden="1" customHeight="1">
      <c r="A6" s="22"/>
      <c r="B6" s="34"/>
      <c r="C6" s="14" t="s">
        <v>18</v>
      </c>
      <c r="D6" s="20" t="s">
        <v>103</v>
      </c>
      <c r="E6" s="20" t="s">
        <v>103</v>
      </c>
      <c r="F6" s="26"/>
      <c r="G6" s="14">
        <v>0</v>
      </c>
      <c r="H6" s="14"/>
      <c r="I6" s="14">
        <f>G6-H6</f>
        <v>0</v>
      </c>
      <c r="J6" s="14">
        <v>0</v>
      </c>
      <c r="K6" s="14"/>
      <c r="L6" s="14">
        <f>J6-K6</f>
        <v>0</v>
      </c>
      <c r="M6" s="14">
        <v>0</v>
      </c>
      <c r="N6" s="14"/>
      <c r="O6" s="14">
        <f>M6-N6</f>
        <v>0</v>
      </c>
      <c r="P6" s="14">
        <v>0</v>
      </c>
      <c r="Q6" s="14"/>
      <c r="R6" s="14">
        <f>P6-Q6</f>
        <v>0</v>
      </c>
      <c r="S6" s="14">
        <v>0</v>
      </c>
      <c r="T6" s="14"/>
      <c r="U6" s="14">
        <f>S6-T6</f>
        <v>0</v>
      </c>
      <c r="V6" s="14">
        <v>0</v>
      </c>
      <c r="W6" s="14"/>
      <c r="X6" s="14">
        <f>V6-W6</f>
        <v>0</v>
      </c>
      <c r="Y6" s="14">
        <v>0</v>
      </c>
      <c r="Z6" s="14"/>
      <c r="AA6" s="14"/>
      <c r="AB6" s="14">
        <v>0</v>
      </c>
      <c r="AC6" s="14">
        <v>0</v>
      </c>
      <c r="AD6" s="14">
        <v>0</v>
      </c>
      <c r="AE6" s="14">
        <v>0</v>
      </c>
      <c r="AF6" s="14">
        <v>0</v>
      </c>
      <c r="AG6" s="89">
        <v>0</v>
      </c>
      <c r="AH6" s="14">
        <f>SUM(G6:AF6)</f>
        <v>0</v>
      </c>
      <c r="AI6" s="33"/>
      <c r="AJ6" s="117"/>
      <c r="AK6" s="117"/>
      <c r="AL6" s="117"/>
      <c r="AM6" s="117"/>
      <c r="AN6" s="117"/>
      <c r="AO6" s="117"/>
      <c r="AP6" s="117"/>
      <c r="AQ6" s="117"/>
      <c r="AR6" s="117"/>
      <c r="AS6" s="117"/>
      <c r="AT6" s="117"/>
      <c r="AU6" s="117"/>
      <c r="AV6" s="14"/>
      <c r="AW6" s="118"/>
      <c r="AX6" s="119"/>
      <c r="AY6" s="120"/>
      <c r="AZ6" s="121"/>
      <c r="BA6" s="113"/>
      <c r="BB6" s="113"/>
    </row>
    <row r="7" spans="1:55" ht="17.5" customHeight="1">
      <c r="A7" s="22"/>
      <c r="B7" s="34"/>
      <c r="C7" s="14" t="s">
        <v>19</v>
      </c>
      <c r="D7" s="20" t="s">
        <v>102</v>
      </c>
      <c r="E7" s="20" t="s">
        <v>102</v>
      </c>
      <c r="F7" s="20"/>
      <c r="G7" s="14">
        <v>101792</v>
      </c>
      <c r="H7" s="14">
        <v>102576.864</v>
      </c>
      <c r="I7" s="14">
        <f t="shared" ref="I7:I70" si="0">G7-H7</f>
        <v>-784.8640000000014</v>
      </c>
      <c r="J7" s="14">
        <v>101792</v>
      </c>
      <c r="K7" s="14">
        <v>101792.164</v>
      </c>
      <c r="L7" s="14">
        <f t="shared" ref="L7:L70" si="1">J7-K7</f>
        <v>-0.16400000000430737</v>
      </c>
      <c r="M7" s="14">
        <v>101792</v>
      </c>
      <c r="N7" s="14">
        <v>164567.851</v>
      </c>
      <c r="O7" s="14">
        <f t="shared" ref="O7:O70" si="2">M7-N7</f>
        <v>-62775.850999999995</v>
      </c>
      <c r="P7" s="14">
        <v>101792</v>
      </c>
      <c r="Q7" s="14">
        <v>102965.822</v>
      </c>
      <c r="R7" s="14">
        <f t="shared" ref="R7:R70" si="3">P7-Q7</f>
        <v>-1173.8220000000001</v>
      </c>
      <c r="S7" s="14">
        <v>101792</v>
      </c>
      <c r="T7" s="14">
        <v>214272.25099999999</v>
      </c>
      <c r="U7" s="14">
        <f t="shared" ref="U7:U70" si="4">S7-T7</f>
        <v>-112480.25099999999</v>
      </c>
      <c r="V7" s="14">
        <v>106291</v>
      </c>
      <c r="W7" s="14">
        <v>110289.405</v>
      </c>
      <c r="X7" s="14">
        <f t="shared" ref="X7:X70" si="5">V7-W7</f>
        <v>-3998.4049999999988</v>
      </c>
      <c r="Y7" s="14">
        <v>106291</v>
      </c>
      <c r="Z7" s="14">
        <v>120463.041</v>
      </c>
      <c r="AA7" s="14">
        <f t="shared" ref="AA7:AA70" si="6">Y7-Z7</f>
        <v>-14172.040999999997</v>
      </c>
      <c r="AB7" s="14">
        <v>106291</v>
      </c>
      <c r="AC7" s="14">
        <v>106291</v>
      </c>
      <c r="AD7" s="14">
        <v>106291</v>
      </c>
      <c r="AE7" s="14">
        <v>106291</v>
      </c>
      <c r="AF7" s="14">
        <v>106291</v>
      </c>
      <c r="AG7" s="89">
        <v>1252997</v>
      </c>
      <c r="AH7" s="14"/>
      <c r="AI7" s="33"/>
      <c r="AJ7" s="117"/>
      <c r="AK7" s="117"/>
      <c r="AL7" s="117"/>
      <c r="AM7" s="117"/>
      <c r="AN7" s="117"/>
      <c r="AO7" s="117"/>
      <c r="AP7" s="117"/>
      <c r="AQ7" s="117"/>
      <c r="AR7" s="117"/>
      <c r="AS7" s="117"/>
      <c r="AT7" s="117"/>
      <c r="AU7" s="117"/>
      <c r="AV7" s="14"/>
      <c r="AW7" s="118"/>
      <c r="AX7" s="119"/>
      <c r="AY7" s="122"/>
      <c r="AZ7" s="123"/>
      <c r="BA7" s="80"/>
      <c r="BB7" s="80"/>
      <c r="BC7" s="80"/>
    </row>
    <row r="8" spans="1:55" ht="17.5" hidden="1" customHeight="1">
      <c r="A8" s="22"/>
      <c r="B8" s="34"/>
      <c r="C8" s="14" t="s">
        <v>20</v>
      </c>
      <c r="D8" s="20" t="s">
        <v>102</v>
      </c>
      <c r="E8" s="20" t="s">
        <v>102</v>
      </c>
      <c r="F8" s="20"/>
      <c r="G8" s="14">
        <v>0</v>
      </c>
      <c r="H8" s="14"/>
      <c r="I8" s="14">
        <f t="shared" si="0"/>
        <v>0</v>
      </c>
      <c r="J8" s="14">
        <v>0</v>
      </c>
      <c r="K8" s="14"/>
      <c r="L8" s="14">
        <f t="shared" si="1"/>
        <v>0</v>
      </c>
      <c r="M8" s="14">
        <v>0</v>
      </c>
      <c r="N8" s="14"/>
      <c r="O8" s="14">
        <f t="shared" si="2"/>
        <v>0</v>
      </c>
      <c r="P8" s="14">
        <v>0</v>
      </c>
      <c r="Q8" s="14"/>
      <c r="R8" s="14">
        <f t="shared" si="3"/>
        <v>0</v>
      </c>
      <c r="S8" s="14">
        <v>0</v>
      </c>
      <c r="T8" s="14"/>
      <c r="U8" s="14">
        <f t="shared" si="4"/>
        <v>0</v>
      </c>
      <c r="V8" s="14">
        <v>0</v>
      </c>
      <c r="W8" s="14"/>
      <c r="X8" s="14">
        <f t="shared" si="5"/>
        <v>0</v>
      </c>
      <c r="Y8" s="14">
        <v>0</v>
      </c>
      <c r="Z8" s="14"/>
      <c r="AA8" s="14">
        <f t="shared" si="6"/>
        <v>0</v>
      </c>
      <c r="AB8" s="14">
        <v>0</v>
      </c>
      <c r="AC8" s="14">
        <v>0</v>
      </c>
      <c r="AD8" s="14">
        <v>0</v>
      </c>
      <c r="AE8" s="14">
        <v>0</v>
      </c>
      <c r="AF8" s="14">
        <v>0</v>
      </c>
      <c r="AG8" s="89">
        <v>0</v>
      </c>
      <c r="AH8" s="14"/>
      <c r="AI8" s="33"/>
      <c r="AJ8" s="117"/>
      <c r="AK8" s="117"/>
      <c r="AL8" s="117"/>
      <c r="AM8" s="117"/>
      <c r="AN8" s="117"/>
      <c r="AO8" s="117"/>
      <c r="AP8" s="117"/>
      <c r="AQ8" s="117"/>
      <c r="AR8" s="117"/>
      <c r="AS8" s="117"/>
      <c r="AT8" s="117"/>
      <c r="AU8" s="117"/>
      <c r="AV8" s="14"/>
      <c r="AW8" s="118"/>
      <c r="AX8" s="119"/>
      <c r="AY8" s="122"/>
      <c r="AZ8" s="123"/>
    </row>
    <row r="9" spans="1:55" ht="17.5" hidden="1" customHeight="1">
      <c r="A9" s="22"/>
      <c r="B9" s="34"/>
      <c r="C9" s="14" t="s">
        <v>21</v>
      </c>
      <c r="D9" s="20" t="s">
        <v>102</v>
      </c>
      <c r="E9" s="20" t="s">
        <v>102</v>
      </c>
      <c r="F9" s="20"/>
      <c r="G9" s="14">
        <v>0</v>
      </c>
      <c r="H9" s="14"/>
      <c r="I9" s="14">
        <f t="shared" si="0"/>
        <v>0</v>
      </c>
      <c r="J9" s="14">
        <v>0</v>
      </c>
      <c r="K9" s="14"/>
      <c r="L9" s="14">
        <f t="shared" si="1"/>
        <v>0</v>
      </c>
      <c r="M9" s="14">
        <v>0</v>
      </c>
      <c r="N9" s="14"/>
      <c r="O9" s="14">
        <f t="shared" si="2"/>
        <v>0</v>
      </c>
      <c r="P9" s="14">
        <v>0</v>
      </c>
      <c r="Q9" s="14"/>
      <c r="R9" s="14">
        <f t="shared" si="3"/>
        <v>0</v>
      </c>
      <c r="S9" s="14">
        <v>0</v>
      </c>
      <c r="T9" s="14"/>
      <c r="U9" s="14">
        <f t="shared" si="4"/>
        <v>0</v>
      </c>
      <c r="V9" s="14">
        <v>0</v>
      </c>
      <c r="W9" s="14"/>
      <c r="X9" s="14">
        <f t="shared" si="5"/>
        <v>0</v>
      </c>
      <c r="Y9" s="14">
        <v>0</v>
      </c>
      <c r="Z9" s="14"/>
      <c r="AA9" s="14">
        <f t="shared" si="6"/>
        <v>0</v>
      </c>
      <c r="AB9" s="14">
        <v>0</v>
      </c>
      <c r="AC9" s="14">
        <v>0</v>
      </c>
      <c r="AD9" s="14">
        <v>0</v>
      </c>
      <c r="AE9" s="14">
        <v>0</v>
      </c>
      <c r="AF9" s="14">
        <v>0</v>
      </c>
      <c r="AG9" s="89">
        <v>0</v>
      </c>
      <c r="AH9" s="14"/>
      <c r="AI9" s="33"/>
      <c r="AJ9" s="117"/>
      <c r="AK9" s="117"/>
      <c r="AL9" s="117"/>
      <c r="AM9" s="117"/>
      <c r="AN9" s="117"/>
      <c r="AO9" s="117"/>
      <c r="AP9" s="117"/>
      <c r="AQ9" s="117"/>
      <c r="AR9" s="117"/>
      <c r="AS9" s="117"/>
      <c r="AT9" s="117"/>
      <c r="AU9" s="117"/>
      <c r="AV9" s="14"/>
      <c r="AW9" s="118"/>
      <c r="AX9" s="119"/>
      <c r="AY9" s="122"/>
      <c r="AZ9" s="123"/>
    </row>
    <row r="10" spans="1:55" ht="17.5" hidden="1" customHeight="1">
      <c r="A10" s="22"/>
      <c r="B10" s="34"/>
      <c r="C10" s="14" t="s">
        <v>169</v>
      </c>
      <c r="D10" s="20" t="s">
        <v>102</v>
      </c>
      <c r="E10" s="20" t="s">
        <v>102</v>
      </c>
      <c r="F10" s="20"/>
      <c r="G10" s="14">
        <v>0</v>
      </c>
      <c r="H10" s="14"/>
      <c r="I10" s="14">
        <f t="shared" si="0"/>
        <v>0</v>
      </c>
      <c r="J10" s="14">
        <v>0</v>
      </c>
      <c r="K10" s="14"/>
      <c r="L10" s="14">
        <f t="shared" si="1"/>
        <v>0</v>
      </c>
      <c r="M10" s="14">
        <v>3701</v>
      </c>
      <c r="N10" s="14"/>
      <c r="O10" s="14">
        <f t="shared" si="2"/>
        <v>3701</v>
      </c>
      <c r="P10" s="14">
        <v>0</v>
      </c>
      <c r="Q10" s="14"/>
      <c r="R10" s="14">
        <f t="shared" si="3"/>
        <v>0</v>
      </c>
      <c r="S10" s="14">
        <v>49697</v>
      </c>
      <c r="T10" s="14"/>
      <c r="U10" s="14">
        <f t="shared" si="4"/>
        <v>49697</v>
      </c>
      <c r="V10" s="14">
        <v>4670</v>
      </c>
      <c r="W10" s="14"/>
      <c r="X10" s="14">
        <f t="shared" si="5"/>
        <v>4670</v>
      </c>
      <c r="Y10" s="14">
        <v>0</v>
      </c>
      <c r="Z10" s="14"/>
      <c r="AA10" s="14">
        <f t="shared" si="6"/>
        <v>0</v>
      </c>
      <c r="AB10" s="14">
        <v>0</v>
      </c>
      <c r="AC10" s="14">
        <v>0</v>
      </c>
      <c r="AD10" s="14">
        <v>0</v>
      </c>
      <c r="AE10" s="14">
        <v>0</v>
      </c>
      <c r="AF10" s="14">
        <v>0</v>
      </c>
      <c r="AG10" s="89">
        <v>58068</v>
      </c>
      <c r="AH10" s="14"/>
      <c r="AI10" s="33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4"/>
      <c r="AW10" s="118"/>
      <c r="AX10" s="119"/>
      <c r="AY10" s="122"/>
      <c r="AZ10" s="123"/>
    </row>
    <row r="11" spans="1:55" ht="17.5" customHeight="1">
      <c r="A11" s="22"/>
      <c r="B11" s="34"/>
      <c r="C11" s="14" t="s">
        <v>22</v>
      </c>
      <c r="D11" s="20" t="s">
        <v>102</v>
      </c>
      <c r="E11" s="20" t="s">
        <v>102</v>
      </c>
      <c r="F11" s="20"/>
      <c r="G11" s="14">
        <v>13053.910000000002</v>
      </c>
      <c r="H11" s="14">
        <v>10310.456</v>
      </c>
      <c r="I11" s="14">
        <f t="shared" si="0"/>
        <v>2743.4540000000015</v>
      </c>
      <c r="J11" s="14">
        <v>13976.16</v>
      </c>
      <c r="K11" s="14">
        <v>10736.858</v>
      </c>
      <c r="L11" s="14">
        <f t="shared" si="1"/>
        <v>3239.3019999999997</v>
      </c>
      <c r="M11" s="14">
        <v>12284.59</v>
      </c>
      <c r="N11" s="14">
        <v>10736.858</v>
      </c>
      <c r="O11" s="14">
        <f t="shared" si="2"/>
        <v>1547.732</v>
      </c>
      <c r="P11" s="14">
        <v>12738.59</v>
      </c>
      <c r="Q11" s="14">
        <v>10429.888000000001</v>
      </c>
      <c r="R11" s="14">
        <f t="shared" si="3"/>
        <v>2308.7019999999993</v>
      </c>
      <c r="S11" s="14">
        <v>12738.59</v>
      </c>
      <c r="T11" s="14">
        <v>11257.081</v>
      </c>
      <c r="U11" s="14">
        <f t="shared" si="4"/>
        <v>1481.509</v>
      </c>
      <c r="V11" s="14">
        <v>13081.59</v>
      </c>
      <c r="W11" s="14">
        <v>10370.089</v>
      </c>
      <c r="X11" s="14">
        <f t="shared" si="5"/>
        <v>2711.5010000000002</v>
      </c>
      <c r="Y11" s="14">
        <v>13081.59</v>
      </c>
      <c r="Z11" s="14">
        <v>17509.111000000001</v>
      </c>
      <c r="AA11" s="14">
        <f t="shared" si="6"/>
        <v>-4427.5210000000006</v>
      </c>
      <c r="AB11" s="14">
        <v>13081.59</v>
      </c>
      <c r="AC11" s="14">
        <v>13081.59</v>
      </c>
      <c r="AD11" s="14">
        <v>13081.59</v>
      </c>
      <c r="AE11" s="14">
        <v>13081.59</v>
      </c>
      <c r="AF11" s="14">
        <v>13081.59</v>
      </c>
      <c r="AG11" s="89">
        <v>156362.96999999997</v>
      </c>
      <c r="AH11" s="14"/>
      <c r="AI11" s="33"/>
      <c r="AJ11" s="117"/>
      <c r="AK11" s="117"/>
      <c r="AL11" s="117"/>
      <c r="AM11" s="117"/>
      <c r="AN11" s="117"/>
      <c r="AO11" s="117"/>
      <c r="AP11" s="117"/>
      <c r="AQ11" s="117"/>
      <c r="AR11" s="117"/>
      <c r="AS11" s="117"/>
      <c r="AT11" s="117"/>
      <c r="AU11" s="117"/>
      <c r="AV11" s="14"/>
      <c r="AW11" s="118"/>
      <c r="AX11" s="119"/>
      <c r="AY11" s="122"/>
      <c r="AZ11" s="123"/>
      <c r="BA11" s="80"/>
      <c r="BB11" s="80"/>
    </row>
    <row r="12" spans="1:55" ht="17.5" customHeight="1">
      <c r="A12" s="22"/>
      <c r="B12" s="34">
        <v>78261</v>
      </c>
      <c r="C12" s="14" t="s">
        <v>23</v>
      </c>
      <c r="D12" s="20" t="s">
        <v>102</v>
      </c>
      <c r="E12" s="20" t="s">
        <v>102</v>
      </c>
      <c r="F12" s="20"/>
      <c r="G12" s="14">
        <v>1800</v>
      </c>
      <c r="H12" s="14">
        <f>1800+331</f>
        <v>2131</v>
      </c>
      <c r="I12" s="14">
        <f t="shared" si="0"/>
        <v>-331</v>
      </c>
      <c r="J12" s="14">
        <v>1800</v>
      </c>
      <c r="K12" s="14">
        <v>2253.5</v>
      </c>
      <c r="L12" s="14">
        <f t="shared" si="1"/>
        <v>-453.5</v>
      </c>
      <c r="M12" s="14">
        <v>1800</v>
      </c>
      <c r="N12" s="14">
        <v>1942</v>
      </c>
      <c r="O12" s="14">
        <f t="shared" si="2"/>
        <v>-142</v>
      </c>
      <c r="P12" s="14">
        <v>1800</v>
      </c>
      <c r="Q12" s="14">
        <v>2421</v>
      </c>
      <c r="R12" s="14">
        <f t="shared" si="3"/>
        <v>-621</v>
      </c>
      <c r="S12" s="14">
        <v>1800</v>
      </c>
      <c r="T12" s="14">
        <v>2099</v>
      </c>
      <c r="U12" s="14">
        <f t="shared" si="4"/>
        <v>-299</v>
      </c>
      <c r="V12" s="14">
        <v>1800</v>
      </c>
      <c r="W12" s="14">
        <v>1891</v>
      </c>
      <c r="X12" s="14">
        <f t="shared" si="5"/>
        <v>-91</v>
      </c>
      <c r="Y12" s="14">
        <v>1800</v>
      </c>
      <c r="Z12" s="14">
        <f>1800+373</f>
        <v>2173</v>
      </c>
      <c r="AA12" s="14">
        <f t="shared" si="6"/>
        <v>-373</v>
      </c>
      <c r="AB12" s="14">
        <v>1800</v>
      </c>
      <c r="AC12" s="14">
        <v>1800</v>
      </c>
      <c r="AD12" s="14">
        <v>1800</v>
      </c>
      <c r="AE12" s="14">
        <v>1800</v>
      </c>
      <c r="AF12" s="14">
        <v>1800</v>
      </c>
      <c r="AG12" s="89">
        <v>21600</v>
      </c>
      <c r="AH12" s="14"/>
      <c r="AI12" s="33"/>
      <c r="AJ12" s="117"/>
      <c r="AK12" s="117"/>
      <c r="AL12" s="117"/>
      <c r="AM12" s="117"/>
      <c r="AN12" s="117"/>
      <c r="AO12" s="117"/>
      <c r="AP12" s="117"/>
      <c r="AQ12" s="117"/>
      <c r="AR12" s="117"/>
      <c r="AS12" s="117"/>
      <c r="AT12" s="117"/>
      <c r="AU12" s="117"/>
      <c r="AV12" s="14"/>
      <c r="AW12" s="118"/>
      <c r="AX12" s="119"/>
      <c r="AY12" s="122"/>
      <c r="AZ12" s="123"/>
    </row>
    <row r="13" spans="1:55" ht="17.5" customHeight="1">
      <c r="A13" s="22"/>
      <c r="B13" s="34">
        <v>78262</v>
      </c>
      <c r="C13" s="14" t="s">
        <v>170</v>
      </c>
      <c r="D13" s="20" t="s">
        <v>102</v>
      </c>
      <c r="E13" s="20" t="s">
        <v>102</v>
      </c>
      <c r="F13" s="20"/>
      <c r="G13" s="14">
        <v>500</v>
      </c>
      <c r="H13" s="14">
        <v>531.6</v>
      </c>
      <c r="I13" s="14">
        <f t="shared" si="0"/>
        <v>-31.600000000000023</v>
      </c>
      <c r="J13" s="14">
        <v>650</v>
      </c>
      <c r="K13" s="14">
        <v>580.9</v>
      </c>
      <c r="L13" s="14">
        <f t="shared" si="1"/>
        <v>69.100000000000023</v>
      </c>
      <c r="M13" s="14">
        <v>55086</v>
      </c>
      <c r="N13" s="14">
        <v>65</v>
      </c>
      <c r="O13" s="14">
        <f t="shared" si="2"/>
        <v>55021</v>
      </c>
      <c r="P13" s="14">
        <v>1800</v>
      </c>
      <c r="Q13" s="14">
        <v>351.57799999999997</v>
      </c>
      <c r="R13" s="14">
        <f t="shared" si="3"/>
        <v>1448.422</v>
      </c>
      <c r="S13" s="14">
        <v>100</v>
      </c>
      <c r="T13" s="14">
        <v>170.38</v>
      </c>
      <c r="U13" s="14">
        <f t="shared" si="4"/>
        <v>-70.38</v>
      </c>
      <c r="V13" s="14">
        <v>300</v>
      </c>
      <c r="W13" s="14">
        <v>49.7</v>
      </c>
      <c r="X13" s="14">
        <f t="shared" si="5"/>
        <v>250.3</v>
      </c>
      <c r="Y13" s="14">
        <v>300</v>
      </c>
      <c r="Z13" s="14">
        <v>90.58</v>
      </c>
      <c r="AA13" s="14">
        <f t="shared" si="6"/>
        <v>209.42000000000002</v>
      </c>
      <c r="AB13" s="14">
        <v>200</v>
      </c>
      <c r="AC13" s="14">
        <v>800</v>
      </c>
      <c r="AD13" s="14">
        <v>100</v>
      </c>
      <c r="AE13" s="14">
        <v>1800</v>
      </c>
      <c r="AF13" s="14">
        <v>150</v>
      </c>
      <c r="AG13" s="89">
        <v>61786</v>
      </c>
      <c r="AH13" s="14"/>
      <c r="AI13" s="33"/>
      <c r="AJ13" s="117"/>
      <c r="AK13" s="117"/>
      <c r="AL13" s="117"/>
      <c r="AM13" s="117"/>
      <c r="AN13" s="117"/>
      <c r="AO13" s="117"/>
      <c r="AP13" s="117"/>
      <c r="AQ13" s="117"/>
      <c r="AR13" s="117"/>
      <c r="AS13" s="117"/>
      <c r="AT13" s="117"/>
      <c r="AU13" s="117"/>
      <c r="AV13" s="14"/>
      <c r="AW13" s="118"/>
      <c r="AX13" s="119"/>
      <c r="AY13" s="122"/>
      <c r="AZ13" s="123"/>
      <c r="BB13" s="80"/>
    </row>
    <row r="14" spans="1:55" ht="17.5" hidden="1" customHeight="1">
      <c r="A14" s="22"/>
      <c r="B14" s="34"/>
      <c r="C14" s="14" t="s">
        <v>94</v>
      </c>
      <c r="D14" s="20" t="s">
        <v>102</v>
      </c>
      <c r="E14" s="20" t="s">
        <v>102</v>
      </c>
      <c r="F14" s="20"/>
      <c r="G14" s="14">
        <v>0</v>
      </c>
      <c r="H14" s="14"/>
      <c r="I14" s="14">
        <f t="shared" si="0"/>
        <v>0</v>
      </c>
      <c r="J14" s="14">
        <v>0</v>
      </c>
      <c r="K14" s="14"/>
      <c r="L14" s="14">
        <f t="shared" si="1"/>
        <v>0</v>
      </c>
      <c r="M14" s="14">
        <v>0</v>
      </c>
      <c r="N14" s="14"/>
      <c r="O14" s="14">
        <f t="shared" si="2"/>
        <v>0</v>
      </c>
      <c r="P14" s="14">
        <v>0</v>
      </c>
      <c r="Q14" s="14"/>
      <c r="R14" s="14">
        <f t="shared" si="3"/>
        <v>0</v>
      </c>
      <c r="S14" s="14">
        <v>0</v>
      </c>
      <c r="T14" s="14"/>
      <c r="U14" s="14">
        <f t="shared" si="4"/>
        <v>0</v>
      </c>
      <c r="V14" s="14">
        <v>0</v>
      </c>
      <c r="W14" s="14"/>
      <c r="X14" s="14">
        <f t="shared" si="5"/>
        <v>0</v>
      </c>
      <c r="Y14" s="14">
        <v>0</v>
      </c>
      <c r="Z14" s="14"/>
      <c r="AA14" s="14">
        <f t="shared" si="6"/>
        <v>0</v>
      </c>
      <c r="AB14" s="14">
        <v>0</v>
      </c>
      <c r="AC14" s="14">
        <v>0</v>
      </c>
      <c r="AD14" s="14">
        <v>0</v>
      </c>
      <c r="AE14" s="14">
        <v>0</v>
      </c>
      <c r="AF14" s="14">
        <v>0</v>
      </c>
      <c r="AG14" s="89">
        <v>0</v>
      </c>
      <c r="AH14" s="14"/>
      <c r="AI14" s="33"/>
      <c r="AJ14" s="117"/>
      <c r="AK14" s="117"/>
      <c r="AL14" s="117"/>
      <c r="AM14" s="117"/>
      <c r="AN14" s="117"/>
      <c r="AO14" s="117"/>
      <c r="AP14" s="117"/>
      <c r="AQ14" s="117"/>
      <c r="AR14" s="117"/>
      <c r="AS14" s="117"/>
      <c r="AT14" s="117"/>
      <c r="AU14" s="117"/>
      <c r="AV14" s="14"/>
      <c r="AW14" s="118"/>
      <c r="AX14" s="119"/>
      <c r="AY14" s="122"/>
      <c r="AZ14" s="123"/>
    </row>
    <row r="15" spans="1:55" ht="17.5" hidden="1" customHeight="1">
      <c r="A15" s="22"/>
      <c r="B15" s="34">
        <v>78363</v>
      </c>
      <c r="C15" s="14" t="s">
        <v>95</v>
      </c>
      <c r="D15" s="20" t="s">
        <v>102</v>
      </c>
      <c r="E15" s="20" t="s">
        <v>102</v>
      </c>
      <c r="F15" s="20"/>
      <c r="G15" s="14">
        <v>0</v>
      </c>
      <c r="H15" s="14"/>
      <c r="I15" s="14">
        <f t="shared" si="0"/>
        <v>0</v>
      </c>
      <c r="J15" s="14">
        <v>0</v>
      </c>
      <c r="K15" s="14"/>
      <c r="L15" s="14">
        <f t="shared" si="1"/>
        <v>0</v>
      </c>
      <c r="M15" s="14">
        <v>0</v>
      </c>
      <c r="N15" s="14"/>
      <c r="O15" s="14">
        <f t="shared" si="2"/>
        <v>0</v>
      </c>
      <c r="P15" s="14">
        <v>0</v>
      </c>
      <c r="Q15" s="14"/>
      <c r="R15" s="14">
        <f t="shared" si="3"/>
        <v>0</v>
      </c>
      <c r="S15" s="14">
        <v>0</v>
      </c>
      <c r="T15" s="14"/>
      <c r="U15" s="14">
        <f t="shared" si="4"/>
        <v>0</v>
      </c>
      <c r="V15" s="14">
        <v>0</v>
      </c>
      <c r="W15" s="14"/>
      <c r="X15" s="14">
        <f t="shared" si="5"/>
        <v>0</v>
      </c>
      <c r="Y15" s="14">
        <v>0</v>
      </c>
      <c r="Z15" s="14"/>
      <c r="AA15" s="14">
        <f t="shared" si="6"/>
        <v>0</v>
      </c>
      <c r="AB15" s="14">
        <v>0</v>
      </c>
      <c r="AC15" s="14">
        <v>0</v>
      </c>
      <c r="AD15" s="14">
        <v>0</v>
      </c>
      <c r="AE15" s="14">
        <v>0</v>
      </c>
      <c r="AF15" s="14">
        <v>0</v>
      </c>
      <c r="AG15" s="89">
        <v>0</v>
      </c>
      <c r="AH15" s="14"/>
      <c r="AI15" s="33"/>
      <c r="AJ15" s="117"/>
      <c r="AK15" s="117"/>
      <c r="AL15" s="117"/>
      <c r="AM15" s="117"/>
      <c r="AN15" s="117"/>
      <c r="AO15" s="117"/>
      <c r="AP15" s="117"/>
      <c r="AQ15" s="117"/>
      <c r="AR15" s="117"/>
      <c r="AS15" s="117"/>
      <c r="AT15" s="117"/>
      <c r="AU15" s="117"/>
      <c r="AV15" s="14"/>
      <c r="AW15" s="118"/>
      <c r="AX15" s="119"/>
      <c r="AY15" s="122"/>
      <c r="AZ15" s="123"/>
    </row>
    <row r="16" spans="1:55" ht="17.5" hidden="1" customHeight="1">
      <c r="A16" s="22"/>
      <c r="B16" s="34">
        <v>78364</v>
      </c>
      <c r="C16" s="14" t="s">
        <v>96</v>
      </c>
      <c r="D16" s="20" t="s">
        <v>102</v>
      </c>
      <c r="E16" s="20" t="s">
        <v>102</v>
      </c>
      <c r="F16" s="20"/>
      <c r="G16" s="14">
        <v>0</v>
      </c>
      <c r="H16" s="14"/>
      <c r="I16" s="14">
        <f t="shared" si="0"/>
        <v>0</v>
      </c>
      <c r="J16" s="14">
        <v>0</v>
      </c>
      <c r="K16" s="14"/>
      <c r="L16" s="14">
        <f t="shared" si="1"/>
        <v>0</v>
      </c>
      <c r="M16" s="14">
        <v>0</v>
      </c>
      <c r="N16" s="14"/>
      <c r="O16" s="14">
        <f t="shared" si="2"/>
        <v>0</v>
      </c>
      <c r="P16" s="14">
        <v>0</v>
      </c>
      <c r="Q16" s="14"/>
      <c r="R16" s="14">
        <f t="shared" si="3"/>
        <v>0</v>
      </c>
      <c r="S16" s="14">
        <v>0</v>
      </c>
      <c r="T16" s="14"/>
      <c r="U16" s="14">
        <f t="shared" si="4"/>
        <v>0</v>
      </c>
      <c r="V16" s="14">
        <v>0</v>
      </c>
      <c r="W16" s="14"/>
      <c r="X16" s="14">
        <f t="shared" si="5"/>
        <v>0</v>
      </c>
      <c r="Y16" s="14">
        <v>0</v>
      </c>
      <c r="Z16" s="14"/>
      <c r="AA16" s="14">
        <f t="shared" si="6"/>
        <v>0</v>
      </c>
      <c r="AB16" s="14">
        <v>0</v>
      </c>
      <c r="AC16" s="14">
        <v>0</v>
      </c>
      <c r="AD16" s="14">
        <v>0</v>
      </c>
      <c r="AE16" s="14">
        <v>0</v>
      </c>
      <c r="AF16" s="14">
        <v>0</v>
      </c>
      <c r="AG16" s="89">
        <v>0</v>
      </c>
      <c r="AH16" s="14"/>
      <c r="AI16" s="33"/>
      <c r="AJ16" s="117"/>
      <c r="AK16" s="117"/>
      <c r="AL16" s="117"/>
      <c r="AM16" s="117"/>
      <c r="AN16" s="117"/>
      <c r="AO16" s="117"/>
      <c r="AP16" s="117"/>
      <c r="AQ16" s="117"/>
      <c r="AR16" s="117"/>
      <c r="AS16" s="117"/>
      <c r="AT16" s="117"/>
      <c r="AU16" s="117"/>
      <c r="AV16" s="14"/>
      <c r="AW16" s="118"/>
      <c r="AX16" s="119"/>
      <c r="AY16" s="122"/>
      <c r="AZ16" s="123"/>
    </row>
    <row r="17" spans="1:54" ht="17.5" customHeight="1">
      <c r="A17" s="22"/>
      <c r="B17" s="34"/>
      <c r="C17" s="14" t="s">
        <v>24</v>
      </c>
      <c r="D17" s="20" t="s">
        <v>102</v>
      </c>
      <c r="E17" s="20" t="s">
        <v>102</v>
      </c>
      <c r="F17" s="20"/>
      <c r="G17" s="14">
        <v>0</v>
      </c>
      <c r="H17" s="14"/>
      <c r="I17" s="14">
        <f t="shared" si="0"/>
        <v>0</v>
      </c>
      <c r="J17" s="14">
        <v>0</v>
      </c>
      <c r="K17" s="14"/>
      <c r="L17" s="14">
        <f t="shared" si="1"/>
        <v>0</v>
      </c>
      <c r="M17" s="14">
        <v>0</v>
      </c>
      <c r="N17" s="14"/>
      <c r="O17" s="14">
        <f t="shared" si="2"/>
        <v>0</v>
      </c>
      <c r="P17" s="14">
        <v>0</v>
      </c>
      <c r="Q17" s="14"/>
      <c r="R17" s="14">
        <f t="shared" si="3"/>
        <v>0</v>
      </c>
      <c r="S17" s="14">
        <v>0</v>
      </c>
      <c r="T17" s="14">
        <v>36968.188999999998</v>
      </c>
      <c r="U17" s="14">
        <f t="shared" si="4"/>
        <v>-36968.188999999998</v>
      </c>
      <c r="V17" s="14">
        <v>0</v>
      </c>
      <c r="W17" s="14"/>
      <c r="X17" s="14">
        <f t="shared" si="5"/>
        <v>0</v>
      </c>
      <c r="Y17" s="14">
        <v>0</v>
      </c>
      <c r="Z17" s="14">
        <v>797.91</v>
      </c>
      <c r="AA17" s="14">
        <f t="shared" si="6"/>
        <v>-797.91</v>
      </c>
      <c r="AB17" s="14">
        <v>0</v>
      </c>
      <c r="AC17" s="14">
        <v>0</v>
      </c>
      <c r="AD17" s="14">
        <v>0</v>
      </c>
      <c r="AE17" s="14">
        <v>111564</v>
      </c>
      <c r="AF17" s="14">
        <v>0</v>
      </c>
      <c r="AG17" s="89">
        <v>111564</v>
      </c>
      <c r="AH17" s="14"/>
      <c r="AI17" s="33"/>
      <c r="AJ17" s="117"/>
      <c r="AK17" s="117"/>
      <c r="AL17" s="117"/>
      <c r="AM17" s="117"/>
      <c r="AN17" s="117"/>
      <c r="AO17" s="117"/>
      <c r="AP17" s="117"/>
      <c r="AQ17" s="117"/>
      <c r="AR17" s="117"/>
      <c r="AS17" s="117"/>
      <c r="AT17" s="117"/>
      <c r="AU17" s="117"/>
      <c r="AV17" s="14"/>
      <c r="AW17" s="118"/>
      <c r="AX17" s="119"/>
      <c r="AY17" s="122"/>
      <c r="AZ17" s="123"/>
      <c r="BB17" s="124"/>
    </row>
    <row r="18" spans="1:54" ht="17.5" hidden="1" customHeight="1">
      <c r="A18" s="22"/>
      <c r="B18" s="34">
        <v>78431</v>
      </c>
      <c r="C18" s="14" t="s">
        <v>25</v>
      </c>
      <c r="D18" s="20" t="s">
        <v>102</v>
      </c>
      <c r="E18" s="20" t="s">
        <v>102</v>
      </c>
      <c r="F18" s="20"/>
      <c r="G18" s="14">
        <v>0</v>
      </c>
      <c r="H18" s="14"/>
      <c r="I18" s="14">
        <f t="shared" si="0"/>
        <v>0</v>
      </c>
      <c r="J18" s="14">
        <v>0</v>
      </c>
      <c r="K18" s="14"/>
      <c r="L18" s="14">
        <f t="shared" si="1"/>
        <v>0</v>
      </c>
      <c r="M18" s="14">
        <v>2300</v>
      </c>
      <c r="N18" s="14"/>
      <c r="O18" s="14">
        <f t="shared" si="2"/>
        <v>2300</v>
      </c>
      <c r="P18" s="14">
        <v>0</v>
      </c>
      <c r="Q18" s="14"/>
      <c r="R18" s="14">
        <f t="shared" si="3"/>
        <v>0</v>
      </c>
      <c r="S18" s="14">
        <v>0</v>
      </c>
      <c r="T18" s="14"/>
      <c r="U18" s="14">
        <f t="shared" si="4"/>
        <v>0</v>
      </c>
      <c r="V18" s="14">
        <v>0</v>
      </c>
      <c r="W18" s="14"/>
      <c r="X18" s="14">
        <f t="shared" si="5"/>
        <v>0</v>
      </c>
      <c r="Y18" s="14">
        <v>0</v>
      </c>
      <c r="Z18" s="14"/>
      <c r="AA18" s="14">
        <f t="shared" si="6"/>
        <v>0</v>
      </c>
      <c r="AB18" s="14">
        <v>0</v>
      </c>
      <c r="AC18" s="14">
        <v>2300</v>
      </c>
      <c r="AD18" s="14">
        <v>0</v>
      </c>
      <c r="AE18" s="14">
        <v>0</v>
      </c>
      <c r="AF18" s="14">
        <v>0</v>
      </c>
      <c r="AG18" s="89">
        <v>4600</v>
      </c>
      <c r="AH18" s="14"/>
      <c r="AI18" s="33"/>
      <c r="AJ18" s="117"/>
      <c r="AK18" s="117"/>
      <c r="AL18" s="117"/>
      <c r="AM18" s="117"/>
      <c r="AN18" s="117"/>
      <c r="AO18" s="117"/>
      <c r="AP18" s="117"/>
      <c r="AQ18" s="117"/>
      <c r="AR18" s="117"/>
      <c r="AS18" s="117"/>
      <c r="AT18" s="117"/>
      <c r="AU18" s="117"/>
      <c r="AV18" s="14"/>
      <c r="AW18" s="118"/>
      <c r="AX18" s="119"/>
      <c r="AY18" s="122"/>
      <c r="AZ18" s="123"/>
    </row>
    <row r="19" spans="1:54" ht="17.5" customHeight="1">
      <c r="A19" s="22"/>
      <c r="B19" s="34">
        <v>78461</v>
      </c>
      <c r="C19" s="14" t="s">
        <v>195</v>
      </c>
      <c r="D19" s="20" t="s">
        <v>102</v>
      </c>
      <c r="E19" s="20" t="s">
        <v>102</v>
      </c>
      <c r="F19" s="20"/>
      <c r="G19" s="14">
        <v>350</v>
      </c>
      <c r="H19" s="14">
        <v>350</v>
      </c>
      <c r="I19" s="14">
        <f t="shared" si="0"/>
        <v>0</v>
      </c>
      <c r="J19" s="14">
        <v>590</v>
      </c>
      <c r="K19" s="14">
        <v>380</v>
      </c>
      <c r="L19" s="14">
        <f t="shared" si="1"/>
        <v>210</v>
      </c>
      <c r="M19" s="14">
        <v>350</v>
      </c>
      <c r="N19" s="14">
        <v>558.5</v>
      </c>
      <c r="O19" s="14">
        <f t="shared" si="2"/>
        <v>-208.5</v>
      </c>
      <c r="P19" s="14">
        <v>420</v>
      </c>
      <c r="Q19" s="14">
        <v>350</v>
      </c>
      <c r="R19" s="14">
        <f t="shared" si="3"/>
        <v>70</v>
      </c>
      <c r="S19" s="14">
        <v>350</v>
      </c>
      <c r="T19" s="14">
        <v>414.7</v>
      </c>
      <c r="U19" s="14">
        <f t="shared" si="4"/>
        <v>-64.699999999999989</v>
      </c>
      <c r="V19" s="14">
        <v>420</v>
      </c>
      <c r="W19" s="14">
        <v>354</v>
      </c>
      <c r="X19" s="14">
        <f t="shared" si="5"/>
        <v>66</v>
      </c>
      <c r="Y19" s="14">
        <v>390</v>
      </c>
      <c r="Z19" s="14">
        <v>429.98</v>
      </c>
      <c r="AA19" s="14">
        <f t="shared" si="6"/>
        <v>-39.980000000000018</v>
      </c>
      <c r="AB19" s="14">
        <v>640</v>
      </c>
      <c r="AC19" s="14">
        <v>350</v>
      </c>
      <c r="AD19" s="14">
        <v>350</v>
      </c>
      <c r="AE19" s="14">
        <v>420</v>
      </c>
      <c r="AF19" s="14">
        <v>420</v>
      </c>
      <c r="AG19" s="89">
        <v>5050</v>
      </c>
      <c r="AH19" s="14"/>
      <c r="AI19" s="33"/>
      <c r="AJ19" s="117"/>
      <c r="AK19" s="117"/>
      <c r="AL19" s="117"/>
      <c r="AM19" s="117"/>
      <c r="AN19" s="117"/>
      <c r="AO19" s="117"/>
      <c r="AP19" s="117"/>
      <c r="AQ19" s="117"/>
      <c r="AR19" s="117"/>
      <c r="AS19" s="117"/>
      <c r="AT19" s="117"/>
      <c r="AU19" s="117"/>
      <c r="AV19" s="14"/>
      <c r="AW19" s="118"/>
      <c r="AX19" s="119"/>
      <c r="AY19" s="122"/>
      <c r="AZ19" s="123"/>
    </row>
    <row r="20" spans="1:54" ht="17.5" hidden="1" customHeight="1">
      <c r="A20" s="22"/>
      <c r="B20" s="34">
        <v>78462</v>
      </c>
      <c r="C20" s="14" t="s">
        <v>27</v>
      </c>
      <c r="D20" s="20" t="s">
        <v>102</v>
      </c>
      <c r="E20" s="20" t="s">
        <v>102</v>
      </c>
      <c r="F20" s="20"/>
      <c r="G20" s="14">
        <v>0</v>
      </c>
      <c r="H20" s="14"/>
      <c r="I20" s="14">
        <f t="shared" si="0"/>
        <v>0</v>
      </c>
      <c r="J20" s="14">
        <v>0</v>
      </c>
      <c r="K20" s="14"/>
      <c r="L20" s="14">
        <f t="shared" si="1"/>
        <v>0</v>
      </c>
      <c r="M20" s="14">
        <v>0</v>
      </c>
      <c r="N20" s="14"/>
      <c r="O20" s="14">
        <f t="shared" si="2"/>
        <v>0</v>
      </c>
      <c r="P20" s="14">
        <v>0</v>
      </c>
      <c r="Q20" s="14"/>
      <c r="R20" s="14">
        <f t="shared" si="3"/>
        <v>0</v>
      </c>
      <c r="S20" s="14">
        <v>0</v>
      </c>
      <c r="T20" s="14">
        <v>2</v>
      </c>
      <c r="U20" s="14">
        <f t="shared" si="4"/>
        <v>-2</v>
      </c>
      <c r="V20" s="14">
        <v>0</v>
      </c>
      <c r="W20" s="14">
        <v>2</v>
      </c>
      <c r="X20" s="14">
        <f t="shared" si="5"/>
        <v>-2</v>
      </c>
      <c r="Y20" s="14">
        <v>0</v>
      </c>
      <c r="Z20" s="14"/>
      <c r="AA20" s="14">
        <f t="shared" si="6"/>
        <v>0</v>
      </c>
      <c r="AB20" s="14">
        <v>0</v>
      </c>
      <c r="AC20" s="14">
        <v>0</v>
      </c>
      <c r="AD20" s="14">
        <v>0</v>
      </c>
      <c r="AE20" s="14">
        <v>0</v>
      </c>
      <c r="AF20" s="14">
        <v>0</v>
      </c>
      <c r="AG20" s="89">
        <v>0</v>
      </c>
      <c r="AH20" s="14"/>
      <c r="AI20" s="33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4"/>
      <c r="AW20" s="118"/>
      <c r="AX20" s="119"/>
      <c r="AY20" s="122"/>
      <c r="AZ20" s="123"/>
    </row>
    <row r="21" spans="1:54" ht="17.5" hidden="1" customHeight="1">
      <c r="A21" s="22"/>
      <c r="B21" s="34">
        <v>78463</v>
      </c>
      <c r="C21" s="14" t="s">
        <v>28</v>
      </c>
      <c r="D21" s="20" t="s">
        <v>102</v>
      </c>
      <c r="E21" s="20" t="s">
        <v>102</v>
      </c>
      <c r="F21" s="20"/>
      <c r="G21" s="14">
        <v>0</v>
      </c>
      <c r="H21" s="14"/>
      <c r="I21" s="14">
        <f t="shared" si="0"/>
        <v>0</v>
      </c>
      <c r="J21" s="14">
        <v>0</v>
      </c>
      <c r="K21" s="14"/>
      <c r="L21" s="14">
        <f t="shared" si="1"/>
        <v>0</v>
      </c>
      <c r="M21" s="14">
        <v>0</v>
      </c>
      <c r="N21" s="14"/>
      <c r="O21" s="14">
        <f t="shared" si="2"/>
        <v>0</v>
      </c>
      <c r="P21" s="14">
        <v>0</v>
      </c>
      <c r="Q21" s="14"/>
      <c r="R21" s="14">
        <f t="shared" si="3"/>
        <v>0</v>
      </c>
      <c r="S21" s="14">
        <v>0</v>
      </c>
      <c r="T21" s="14"/>
      <c r="U21" s="14">
        <f t="shared" si="4"/>
        <v>0</v>
      </c>
      <c r="V21" s="14">
        <v>0</v>
      </c>
      <c r="W21" s="14"/>
      <c r="X21" s="14">
        <f t="shared" si="5"/>
        <v>0</v>
      </c>
      <c r="Y21" s="14">
        <v>0</v>
      </c>
      <c r="Z21" s="14"/>
      <c r="AA21" s="14">
        <f t="shared" si="6"/>
        <v>0</v>
      </c>
      <c r="AB21" s="14">
        <v>0</v>
      </c>
      <c r="AC21" s="14">
        <v>0</v>
      </c>
      <c r="AD21" s="14">
        <v>0</v>
      </c>
      <c r="AE21" s="14">
        <v>0</v>
      </c>
      <c r="AF21" s="14">
        <v>0</v>
      </c>
      <c r="AG21" s="89">
        <v>0</v>
      </c>
      <c r="AH21" s="14"/>
      <c r="AI21" s="33"/>
      <c r="AJ21" s="117"/>
      <c r="AK21" s="117"/>
      <c r="AL21" s="117"/>
      <c r="AM21" s="117"/>
      <c r="AN21" s="117"/>
      <c r="AO21" s="117"/>
      <c r="AP21" s="117"/>
      <c r="AQ21" s="117"/>
      <c r="AR21" s="117"/>
      <c r="AS21" s="117"/>
      <c r="AT21" s="117"/>
      <c r="AU21" s="117"/>
      <c r="AV21" s="14"/>
      <c r="AW21" s="118"/>
      <c r="AX21" s="119"/>
      <c r="AY21" s="122"/>
      <c r="AZ21" s="123"/>
    </row>
    <row r="22" spans="1:54" ht="17.5" customHeight="1">
      <c r="A22" s="22"/>
      <c r="B22" s="34">
        <v>78472</v>
      </c>
      <c r="C22" s="14" t="s">
        <v>29</v>
      </c>
      <c r="D22" s="20" t="s">
        <v>102</v>
      </c>
      <c r="E22" s="20" t="s">
        <v>102</v>
      </c>
      <c r="F22" s="20"/>
      <c r="G22" s="14">
        <v>0</v>
      </c>
      <c r="H22" s="14"/>
      <c r="I22" s="14">
        <f t="shared" si="0"/>
        <v>0</v>
      </c>
      <c r="J22" s="14">
        <v>0</v>
      </c>
      <c r="K22" s="14"/>
      <c r="L22" s="14">
        <f t="shared" si="1"/>
        <v>0</v>
      </c>
      <c r="M22" s="14">
        <v>0</v>
      </c>
      <c r="N22" s="14"/>
      <c r="O22" s="14">
        <f t="shared" si="2"/>
        <v>0</v>
      </c>
      <c r="P22" s="14">
        <v>0</v>
      </c>
      <c r="Q22" s="14"/>
      <c r="R22" s="14">
        <f t="shared" si="3"/>
        <v>0</v>
      </c>
      <c r="S22" s="14">
        <v>0</v>
      </c>
      <c r="T22" s="14"/>
      <c r="U22" s="14">
        <f t="shared" si="4"/>
        <v>0</v>
      </c>
      <c r="V22" s="14">
        <v>0</v>
      </c>
      <c r="W22" s="14"/>
      <c r="X22" s="14">
        <f t="shared" si="5"/>
        <v>0</v>
      </c>
      <c r="Y22" s="14">
        <v>0</v>
      </c>
      <c r="Z22" s="14">
        <v>237.5</v>
      </c>
      <c r="AA22" s="14">
        <f t="shared" si="6"/>
        <v>-237.5</v>
      </c>
      <c r="AB22" s="14">
        <v>0</v>
      </c>
      <c r="AC22" s="14">
        <v>0</v>
      </c>
      <c r="AD22" s="14">
        <v>0</v>
      </c>
      <c r="AE22" s="14">
        <v>0</v>
      </c>
      <c r="AF22" s="14">
        <v>0</v>
      </c>
      <c r="AG22" s="89">
        <v>0</v>
      </c>
      <c r="AH22" s="14"/>
      <c r="AI22" s="33"/>
      <c r="AJ22" s="117"/>
      <c r="AK22" s="117"/>
      <c r="AL22" s="117"/>
      <c r="AM22" s="117"/>
      <c r="AN22" s="117"/>
      <c r="AO22" s="117"/>
      <c r="AP22" s="117"/>
      <c r="AQ22" s="117"/>
      <c r="AR22" s="117"/>
      <c r="AS22" s="117"/>
      <c r="AT22" s="117"/>
      <c r="AU22" s="117"/>
      <c r="AV22" s="14"/>
      <c r="AW22" s="118"/>
      <c r="AX22" s="119"/>
      <c r="AY22" s="122"/>
      <c r="AZ22" s="123"/>
    </row>
    <row r="23" spans="1:54" ht="17.5" hidden="1" customHeight="1">
      <c r="A23" s="22"/>
      <c r="B23" s="34">
        <v>78473</v>
      </c>
      <c r="C23" s="14" t="s">
        <v>30</v>
      </c>
      <c r="D23" s="20" t="s">
        <v>102</v>
      </c>
      <c r="E23" s="20" t="s">
        <v>102</v>
      </c>
      <c r="F23" s="20"/>
      <c r="G23" s="14">
        <v>0</v>
      </c>
      <c r="H23" s="14"/>
      <c r="I23" s="14">
        <f t="shared" si="0"/>
        <v>0</v>
      </c>
      <c r="J23" s="14">
        <v>0</v>
      </c>
      <c r="K23" s="14">
        <v>159</v>
      </c>
      <c r="L23" s="14">
        <f t="shared" si="1"/>
        <v>-159</v>
      </c>
      <c r="M23" s="14">
        <v>0</v>
      </c>
      <c r="N23" s="14">
        <v>627.9</v>
      </c>
      <c r="O23" s="14">
        <f t="shared" si="2"/>
        <v>-627.9</v>
      </c>
      <c r="P23" s="14">
        <v>0</v>
      </c>
      <c r="Q23" s="14"/>
      <c r="R23" s="14">
        <f t="shared" si="3"/>
        <v>0</v>
      </c>
      <c r="S23" s="14">
        <v>0</v>
      </c>
      <c r="T23" s="14">
        <v>545.95000000000005</v>
      </c>
      <c r="U23" s="14">
        <f t="shared" si="4"/>
        <v>-545.95000000000005</v>
      </c>
      <c r="V23" s="14">
        <v>0</v>
      </c>
      <c r="W23" s="14"/>
      <c r="X23" s="14">
        <f t="shared" si="5"/>
        <v>0</v>
      </c>
      <c r="Y23" s="14"/>
      <c r="Z23" s="14"/>
      <c r="AA23" s="14">
        <f t="shared" si="6"/>
        <v>0</v>
      </c>
      <c r="AB23" s="14">
        <v>0</v>
      </c>
      <c r="AC23" s="14">
        <v>0</v>
      </c>
      <c r="AD23" s="14">
        <v>0</v>
      </c>
      <c r="AE23" s="14">
        <v>0</v>
      </c>
      <c r="AF23" s="14">
        <v>0</v>
      </c>
      <c r="AG23" s="89">
        <v>0</v>
      </c>
      <c r="AH23" s="14"/>
      <c r="AI23" s="33"/>
      <c r="AJ23" s="117"/>
      <c r="AK23" s="117"/>
      <c r="AL23" s="117"/>
      <c r="AM23" s="117"/>
      <c r="AN23" s="117"/>
      <c r="AO23" s="117"/>
      <c r="AP23" s="117"/>
      <c r="AQ23" s="117"/>
      <c r="AR23" s="117"/>
      <c r="AS23" s="117"/>
      <c r="AT23" s="117"/>
      <c r="AU23" s="117"/>
      <c r="AV23" s="14"/>
      <c r="AW23" s="118"/>
      <c r="AX23" s="119"/>
      <c r="AY23" s="122"/>
      <c r="AZ23" s="123"/>
    </row>
    <row r="24" spans="1:54" ht="17.5" hidden="1" customHeight="1">
      <c r="A24" s="22"/>
      <c r="B24" s="34">
        <v>78474</v>
      </c>
      <c r="C24" s="14" t="s">
        <v>31</v>
      </c>
      <c r="D24" s="20" t="s">
        <v>102</v>
      </c>
      <c r="E24" s="20" t="s">
        <v>102</v>
      </c>
      <c r="F24" s="20"/>
      <c r="G24" s="14">
        <v>0</v>
      </c>
      <c r="H24" s="14"/>
      <c r="I24" s="14">
        <f t="shared" si="0"/>
        <v>0</v>
      </c>
      <c r="J24" s="14">
        <v>0</v>
      </c>
      <c r="K24" s="14"/>
      <c r="L24" s="14">
        <f t="shared" si="1"/>
        <v>0</v>
      </c>
      <c r="M24" s="14">
        <v>0</v>
      </c>
      <c r="N24" s="14"/>
      <c r="O24" s="14">
        <f t="shared" si="2"/>
        <v>0</v>
      </c>
      <c r="P24" s="14">
        <v>0</v>
      </c>
      <c r="Q24" s="14"/>
      <c r="R24" s="14">
        <f t="shared" si="3"/>
        <v>0</v>
      </c>
      <c r="S24" s="14">
        <v>0</v>
      </c>
      <c r="T24" s="14"/>
      <c r="U24" s="14">
        <f t="shared" si="4"/>
        <v>0</v>
      </c>
      <c r="V24" s="14">
        <v>0</v>
      </c>
      <c r="W24" s="14"/>
      <c r="X24" s="14">
        <f t="shared" si="5"/>
        <v>0</v>
      </c>
      <c r="Y24" s="14">
        <v>0</v>
      </c>
      <c r="Z24" s="14"/>
      <c r="AA24" s="14">
        <f t="shared" si="6"/>
        <v>0</v>
      </c>
      <c r="AB24" s="14">
        <v>0</v>
      </c>
      <c r="AC24" s="14">
        <v>0</v>
      </c>
      <c r="AD24" s="14">
        <v>0</v>
      </c>
      <c r="AE24" s="14">
        <v>0</v>
      </c>
      <c r="AF24" s="14">
        <v>0</v>
      </c>
      <c r="AG24" s="89">
        <v>0</v>
      </c>
      <c r="AH24" s="14"/>
      <c r="AI24" s="33"/>
      <c r="AJ24" s="117"/>
      <c r="AK24" s="117"/>
      <c r="AL24" s="117"/>
      <c r="AM24" s="117"/>
      <c r="AN24" s="117"/>
      <c r="AO24" s="117"/>
      <c r="AP24" s="117"/>
      <c r="AQ24" s="117"/>
      <c r="AR24" s="117"/>
      <c r="AS24" s="117"/>
      <c r="AT24" s="117"/>
      <c r="AU24" s="117"/>
      <c r="AV24" s="14"/>
      <c r="AW24" s="118"/>
      <c r="AX24" s="119"/>
      <c r="AY24" s="122"/>
      <c r="AZ24" s="123"/>
    </row>
    <row r="25" spans="1:54" ht="17.5" hidden="1" customHeight="1">
      <c r="A25" s="22"/>
      <c r="B25" s="34">
        <v>78481</v>
      </c>
      <c r="C25" s="14" t="s">
        <v>32</v>
      </c>
      <c r="D25" s="20" t="s">
        <v>102</v>
      </c>
      <c r="E25" s="20" t="s">
        <v>102</v>
      </c>
      <c r="F25" s="20"/>
      <c r="G25" s="14">
        <v>0</v>
      </c>
      <c r="H25" s="14"/>
      <c r="I25" s="14">
        <f t="shared" si="0"/>
        <v>0</v>
      </c>
      <c r="J25" s="14">
        <v>0</v>
      </c>
      <c r="K25" s="14"/>
      <c r="L25" s="14">
        <f t="shared" si="1"/>
        <v>0</v>
      </c>
      <c r="M25" s="14">
        <v>0</v>
      </c>
      <c r="N25" s="14"/>
      <c r="O25" s="14">
        <f t="shared" si="2"/>
        <v>0</v>
      </c>
      <c r="P25" s="14">
        <v>0</v>
      </c>
      <c r="Q25" s="14"/>
      <c r="R25" s="14">
        <f t="shared" si="3"/>
        <v>0</v>
      </c>
      <c r="S25" s="14">
        <v>0</v>
      </c>
      <c r="T25" s="14"/>
      <c r="U25" s="14">
        <f t="shared" si="4"/>
        <v>0</v>
      </c>
      <c r="V25" s="14">
        <v>0</v>
      </c>
      <c r="W25" s="14"/>
      <c r="X25" s="14">
        <f t="shared" si="5"/>
        <v>0</v>
      </c>
      <c r="Y25" s="14">
        <v>0</v>
      </c>
      <c r="Z25" s="14"/>
      <c r="AA25" s="14">
        <f t="shared" si="6"/>
        <v>0</v>
      </c>
      <c r="AB25" s="14">
        <v>0</v>
      </c>
      <c r="AC25" s="14">
        <v>0</v>
      </c>
      <c r="AD25" s="14">
        <v>0</v>
      </c>
      <c r="AE25" s="14">
        <v>0</v>
      </c>
      <c r="AF25" s="14">
        <v>0</v>
      </c>
      <c r="AG25" s="89">
        <v>0</v>
      </c>
      <c r="AH25" s="14"/>
      <c r="AI25" s="33"/>
      <c r="AJ25" s="117"/>
      <c r="AK25" s="117"/>
      <c r="AL25" s="117"/>
      <c r="AM25" s="117"/>
      <c r="AN25" s="117"/>
      <c r="AO25" s="117"/>
      <c r="AP25" s="117"/>
      <c r="AQ25" s="117"/>
      <c r="AR25" s="117"/>
      <c r="AS25" s="117"/>
      <c r="AT25" s="117"/>
      <c r="AU25" s="117"/>
      <c r="AV25" s="14"/>
      <c r="AW25" s="118"/>
      <c r="AX25" s="119"/>
      <c r="AY25" s="122"/>
      <c r="AZ25" s="123"/>
    </row>
    <row r="26" spans="1:54" ht="17.5" hidden="1" customHeight="1">
      <c r="A26" s="22"/>
      <c r="B26" s="34">
        <v>78491</v>
      </c>
      <c r="C26" s="14" t="s">
        <v>33</v>
      </c>
      <c r="D26" s="20" t="s">
        <v>102</v>
      </c>
      <c r="E26" s="20" t="s">
        <v>102</v>
      </c>
      <c r="F26" s="20"/>
      <c r="G26" s="14">
        <v>0</v>
      </c>
      <c r="H26" s="14"/>
      <c r="I26" s="14">
        <f t="shared" si="0"/>
        <v>0</v>
      </c>
      <c r="J26" s="14">
        <v>0</v>
      </c>
      <c r="K26" s="14"/>
      <c r="L26" s="14">
        <f t="shared" si="1"/>
        <v>0</v>
      </c>
      <c r="M26" s="14">
        <v>0</v>
      </c>
      <c r="N26" s="14"/>
      <c r="O26" s="14">
        <f t="shared" si="2"/>
        <v>0</v>
      </c>
      <c r="P26" s="14">
        <v>0</v>
      </c>
      <c r="Q26" s="14"/>
      <c r="R26" s="14">
        <f t="shared" si="3"/>
        <v>0</v>
      </c>
      <c r="S26" s="14">
        <v>0</v>
      </c>
      <c r="T26" s="14"/>
      <c r="U26" s="14">
        <f t="shared" si="4"/>
        <v>0</v>
      </c>
      <c r="V26" s="14">
        <v>0</v>
      </c>
      <c r="W26" s="14"/>
      <c r="X26" s="14">
        <f t="shared" si="5"/>
        <v>0</v>
      </c>
      <c r="Y26" s="14">
        <v>0</v>
      </c>
      <c r="Z26" s="14"/>
      <c r="AA26" s="14">
        <f t="shared" si="6"/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89">
        <v>0</v>
      </c>
      <c r="AH26" s="14"/>
      <c r="AI26" s="33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4"/>
      <c r="AW26" s="118"/>
      <c r="AX26" s="119"/>
      <c r="AY26" s="122"/>
      <c r="AZ26" s="123"/>
    </row>
    <row r="27" spans="1:54" ht="17.5" hidden="1" customHeight="1">
      <c r="A27" s="22"/>
      <c r="B27" s="34">
        <v>78494</v>
      </c>
      <c r="C27" s="14" t="s">
        <v>34</v>
      </c>
      <c r="D27" s="20" t="s">
        <v>102</v>
      </c>
      <c r="E27" s="20" t="s">
        <v>102</v>
      </c>
      <c r="F27" s="20"/>
      <c r="G27" s="14">
        <v>0</v>
      </c>
      <c r="H27" s="14"/>
      <c r="I27" s="14">
        <f t="shared" si="0"/>
        <v>0</v>
      </c>
      <c r="J27" s="14">
        <v>0</v>
      </c>
      <c r="K27" s="14"/>
      <c r="L27" s="14">
        <f t="shared" si="1"/>
        <v>0</v>
      </c>
      <c r="M27" s="14">
        <v>0</v>
      </c>
      <c r="N27" s="14"/>
      <c r="O27" s="14">
        <f t="shared" si="2"/>
        <v>0</v>
      </c>
      <c r="P27" s="14">
        <v>0</v>
      </c>
      <c r="Q27" s="14"/>
      <c r="R27" s="14">
        <f t="shared" si="3"/>
        <v>0</v>
      </c>
      <c r="S27" s="14">
        <v>0</v>
      </c>
      <c r="T27" s="14"/>
      <c r="U27" s="14">
        <f t="shared" si="4"/>
        <v>0</v>
      </c>
      <c r="V27" s="14">
        <v>0</v>
      </c>
      <c r="W27" s="14"/>
      <c r="X27" s="14">
        <f t="shared" si="5"/>
        <v>0</v>
      </c>
      <c r="Y27" s="14">
        <v>0</v>
      </c>
      <c r="Z27" s="14"/>
      <c r="AA27" s="14">
        <f t="shared" si="6"/>
        <v>0</v>
      </c>
      <c r="AB27" s="14">
        <v>0</v>
      </c>
      <c r="AC27" s="14">
        <v>0</v>
      </c>
      <c r="AD27" s="14">
        <v>0</v>
      </c>
      <c r="AE27" s="14">
        <v>0</v>
      </c>
      <c r="AF27" s="14">
        <v>0</v>
      </c>
      <c r="AG27" s="89">
        <v>0</v>
      </c>
      <c r="AH27" s="14"/>
      <c r="AI27" s="33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4"/>
      <c r="AW27" s="118"/>
      <c r="AX27" s="119"/>
      <c r="AY27" s="122"/>
      <c r="AZ27" s="123"/>
    </row>
    <row r="28" spans="1:54" ht="17.5" hidden="1" customHeight="1">
      <c r="A28" s="22"/>
      <c r="B28" s="34">
        <v>78499</v>
      </c>
      <c r="C28" s="14" t="s">
        <v>35</v>
      </c>
      <c r="D28" s="20" t="s">
        <v>102</v>
      </c>
      <c r="E28" s="20" t="s">
        <v>102</v>
      </c>
      <c r="F28" s="20"/>
      <c r="G28" s="14">
        <v>0</v>
      </c>
      <c r="H28" s="14"/>
      <c r="I28" s="14">
        <f t="shared" si="0"/>
        <v>0</v>
      </c>
      <c r="J28" s="14">
        <v>0</v>
      </c>
      <c r="K28" s="14"/>
      <c r="L28" s="14">
        <f t="shared" si="1"/>
        <v>0</v>
      </c>
      <c r="M28" s="14">
        <v>0</v>
      </c>
      <c r="N28" s="14"/>
      <c r="O28" s="14">
        <f t="shared" si="2"/>
        <v>0</v>
      </c>
      <c r="P28" s="14">
        <v>0</v>
      </c>
      <c r="Q28" s="14"/>
      <c r="R28" s="14">
        <f t="shared" si="3"/>
        <v>0</v>
      </c>
      <c r="S28" s="14">
        <v>0</v>
      </c>
      <c r="T28" s="14"/>
      <c r="U28" s="14">
        <f t="shared" si="4"/>
        <v>0</v>
      </c>
      <c r="V28" s="14">
        <v>0</v>
      </c>
      <c r="W28" s="14"/>
      <c r="X28" s="14">
        <f t="shared" si="5"/>
        <v>0</v>
      </c>
      <c r="Y28" s="14">
        <v>0</v>
      </c>
      <c r="Z28" s="14"/>
      <c r="AA28" s="14">
        <f t="shared" si="6"/>
        <v>0</v>
      </c>
      <c r="AB28" s="14">
        <v>0</v>
      </c>
      <c r="AC28" s="14">
        <v>0</v>
      </c>
      <c r="AD28" s="14">
        <v>0</v>
      </c>
      <c r="AE28" s="14">
        <v>0</v>
      </c>
      <c r="AF28" s="14">
        <v>0</v>
      </c>
      <c r="AG28" s="89">
        <v>0</v>
      </c>
      <c r="AH28" s="14"/>
      <c r="AI28" s="33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4"/>
      <c r="AW28" s="118"/>
      <c r="AX28" s="119"/>
      <c r="AY28" s="122"/>
      <c r="AZ28" s="123"/>
    </row>
    <row r="29" spans="1:54" ht="17.5" hidden="1" customHeight="1">
      <c r="A29" s="22"/>
      <c r="B29" s="34">
        <v>78508</v>
      </c>
      <c r="C29" s="14" t="s">
        <v>171</v>
      </c>
      <c r="D29" s="20" t="s">
        <v>102</v>
      </c>
      <c r="E29" s="20" t="s">
        <v>102</v>
      </c>
      <c r="F29" s="20"/>
      <c r="G29" s="14">
        <v>0</v>
      </c>
      <c r="H29" s="14"/>
      <c r="I29" s="14">
        <f t="shared" si="0"/>
        <v>0</v>
      </c>
      <c r="J29" s="14">
        <v>0</v>
      </c>
      <c r="K29" s="14"/>
      <c r="L29" s="14">
        <f t="shared" si="1"/>
        <v>0</v>
      </c>
      <c r="M29" s="14">
        <v>0</v>
      </c>
      <c r="N29" s="14"/>
      <c r="O29" s="14">
        <f t="shared" si="2"/>
        <v>0</v>
      </c>
      <c r="P29" s="14">
        <v>0</v>
      </c>
      <c r="Q29" s="14"/>
      <c r="R29" s="14">
        <f t="shared" si="3"/>
        <v>0</v>
      </c>
      <c r="S29" s="14">
        <v>0</v>
      </c>
      <c r="T29" s="14"/>
      <c r="U29" s="14">
        <f t="shared" si="4"/>
        <v>0</v>
      </c>
      <c r="V29" s="14">
        <v>0</v>
      </c>
      <c r="W29" s="14"/>
      <c r="X29" s="14">
        <f t="shared" si="5"/>
        <v>0</v>
      </c>
      <c r="Y29" s="14">
        <v>0</v>
      </c>
      <c r="Z29" s="14"/>
      <c r="AA29" s="14">
        <f t="shared" si="6"/>
        <v>0</v>
      </c>
      <c r="AB29" s="14">
        <v>0</v>
      </c>
      <c r="AC29" s="14">
        <v>0</v>
      </c>
      <c r="AD29" s="14">
        <v>0</v>
      </c>
      <c r="AE29" s="14">
        <v>0</v>
      </c>
      <c r="AF29" s="14">
        <v>0</v>
      </c>
      <c r="AG29" s="89">
        <v>0</v>
      </c>
      <c r="AH29" s="14"/>
      <c r="AI29" s="33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4"/>
      <c r="AW29" s="118"/>
      <c r="AX29" s="119"/>
      <c r="AY29" s="122"/>
      <c r="AZ29" s="123"/>
    </row>
    <row r="30" spans="1:54" ht="17.5" customHeight="1">
      <c r="A30" s="22"/>
      <c r="B30" s="34">
        <v>78510</v>
      </c>
      <c r="C30" s="14" t="s">
        <v>36</v>
      </c>
      <c r="D30" s="20" t="s">
        <v>102</v>
      </c>
      <c r="E30" s="20" t="s">
        <v>102</v>
      </c>
      <c r="F30" s="20"/>
      <c r="G30" s="14">
        <v>3966</v>
      </c>
      <c r="H30" s="14">
        <v>5301.56</v>
      </c>
      <c r="I30" s="14">
        <f t="shared" si="0"/>
        <v>-1335.5600000000004</v>
      </c>
      <c r="J30" s="14">
        <v>3966</v>
      </c>
      <c r="K30" s="14">
        <v>3853.44</v>
      </c>
      <c r="L30" s="14">
        <f t="shared" si="1"/>
        <v>112.55999999999995</v>
      </c>
      <c r="M30" s="14">
        <v>3966</v>
      </c>
      <c r="N30" s="14">
        <v>5531.63</v>
      </c>
      <c r="O30" s="14">
        <f t="shared" si="2"/>
        <v>-1565.63</v>
      </c>
      <c r="P30" s="14">
        <v>6817</v>
      </c>
      <c r="Q30" s="14">
        <v>51095.26</v>
      </c>
      <c r="R30" s="14">
        <f t="shared" si="3"/>
        <v>-44278.26</v>
      </c>
      <c r="S30" s="14">
        <v>6817</v>
      </c>
      <c r="T30" s="14">
        <v>4011.11</v>
      </c>
      <c r="U30" s="14">
        <f t="shared" si="4"/>
        <v>2805.89</v>
      </c>
      <c r="V30" s="14">
        <v>16536</v>
      </c>
      <c r="W30" s="14">
        <v>16979.97</v>
      </c>
      <c r="X30" s="14">
        <f t="shared" si="5"/>
        <v>-443.97000000000116</v>
      </c>
      <c r="Y30" s="14">
        <v>5196</v>
      </c>
      <c r="Z30" s="14">
        <v>4011.11</v>
      </c>
      <c r="AA30" s="14">
        <f t="shared" si="6"/>
        <v>1184.8899999999999</v>
      </c>
      <c r="AB30" s="14">
        <v>3966</v>
      </c>
      <c r="AC30" s="14">
        <v>3966</v>
      </c>
      <c r="AD30" s="14">
        <v>5300</v>
      </c>
      <c r="AE30" s="14">
        <v>3966</v>
      </c>
      <c r="AF30" s="14">
        <v>6817</v>
      </c>
      <c r="AG30" s="89">
        <v>71279</v>
      </c>
      <c r="AH30" s="14"/>
      <c r="AI30" s="33"/>
      <c r="AJ30" s="117"/>
      <c r="AK30" s="117"/>
      <c r="AL30" s="117"/>
      <c r="AM30" s="117"/>
      <c r="AN30" s="117"/>
      <c r="AO30" s="117"/>
      <c r="AP30" s="117"/>
      <c r="AQ30" s="117"/>
      <c r="AR30" s="117"/>
      <c r="AS30" s="117"/>
      <c r="AT30" s="117"/>
      <c r="AU30" s="117"/>
      <c r="AV30" s="14"/>
      <c r="AW30" s="118"/>
      <c r="AX30" s="119"/>
      <c r="AY30" s="122"/>
      <c r="AZ30" s="123"/>
      <c r="BA30" s="124"/>
    </row>
    <row r="31" spans="1:54" ht="17.5" customHeight="1">
      <c r="A31" s="22"/>
      <c r="B31" s="34">
        <v>78511</v>
      </c>
      <c r="C31" s="14" t="s">
        <v>37</v>
      </c>
      <c r="D31" s="20" t="s">
        <v>102</v>
      </c>
      <c r="E31" s="20" t="s">
        <v>102</v>
      </c>
      <c r="F31" s="20"/>
      <c r="G31" s="14">
        <v>10</v>
      </c>
      <c r="H31" s="14">
        <v>11.5</v>
      </c>
      <c r="I31" s="14">
        <f t="shared" si="0"/>
        <v>-1.5</v>
      </c>
      <c r="J31" s="14">
        <v>10</v>
      </c>
      <c r="K31" s="14"/>
      <c r="L31" s="14">
        <f t="shared" si="1"/>
        <v>10</v>
      </c>
      <c r="M31" s="14">
        <v>10</v>
      </c>
      <c r="N31" s="14">
        <v>18</v>
      </c>
      <c r="O31" s="14">
        <f t="shared" si="2"/>
        <v>-8</v>
      </c>
      <c r="P31" s="14">
        <v>10</v>
      </c>
      <c r="Q31" s="14">
        <v>9</v>
      </c>
      <c r="R31" s="14">
        <f t="shared" si="3"/>
        <v>1</v>
      </c>
      <c r="S31" s="14">
        <v>10</v>
      </c>
      <c r="T31" s="14">
        <v>9</v>
      </c>
      <c r="U31" s="14">
        <f t="shared" si="4"/>
        <v>1</v>
      </c>
      <c r="V31" s="14">
        <v>20</v>
      </c>
      <c r="W31" s="14">
        <v>9</v>
      </c>
      <c r="X31" s="14">
        <f t="shared" si="5"/>
        <v>11</v>
      </c>
      <c r="Y31" s="14">
        <v>10</v>
      </c>
      <c r="Z31" s="14">
        <v>9</v>
      </c>
      <c r="AA31" s="14">
        <f t="shared" si="6"/>
        <v>1</v>
      </c>
      <c r="AB31" s="14">
        <v>10</v>
      </c>
      <c r="AC31" s="14">
        <v>20</v>
      </c>
      <c r="AD31" s="14">
        <v>10</v>
      </c>
      <c r="AE31" s="14">
        <v>20</v>
      </c>
      <c r="AF31" s="14">
        <v>20</v>
      </c>
      <c r="AG31" s="89">
        <v>160</v>
      </c>
      <c r="AH31" s="14"/>
      <c r="AI31" s="33"/>
      <c r="AJ31" s="117"/>
      <c r="AK31" s="117"/>
      <c r="AL31" s="117"/>
      <c r="AM31" s="117"/>
      <c r="AN31" s="117"/>
      <c r="AO31" s="117"/>
      <c r="AP31" s="117"/>
      <c r="AQ31" s="117"/>
      <c r="AR31" s="117"/>
      <c r="AS31" s="117"/>
      <c r="AT31" s="117"/>
      <c r="AU31" s="117"/>
      <c r="AV31" s="14"/>
      <c r="AW31" s="118"/>
      <c r="AX31" s="119"/>
      <c r="AY31" s="122"/>
      <c r="AZ31" s="123"/>
    </row>
    <row r="32" spans="1:54" ht="17.5" hidden="1" customHeight="1">
      <c r="A32" s="22"/>
      <c r="B32" s="34">
        <v>78512</v>
      </c>
      <c r="C32" s="14" t="s">
        <v>38</v>
      </c>
      <c r="D32" s="20" t="s">
        <v>102</v>
      </c>
      <c r="E32" s="20" t="s">
        <v>102</v>
      </c>
      <c r="F32" s="20"/>
      <c r="G32" s="14">
        <v>0</v>
      </c>
      <c r="H32" s="14"/>
      <c r="I32" s="14">
        <f t="shared" si="0"/>
        <v>0</v>
      </c>
      <c r="J32" s="14">
        <v>0</v>
      </c>
      <c r="K32" s="14"/>
      <c r="L32" s="14">
        <f t="shared" si="1"/>
        <v>0</v>
      </c>
      <c r="M32" s="14">
        <v>0</v>
      </c>
      <c r="N32" s="14"/>
      <c r="O32" s="14">
        <f t="shared" si="2"/>
        <v>0</v>
      </c>
      <c r="P32" s="14">
        <v>0</v>
      </c>
      <c r="Q32" s="14"/>
      <c r="R32" s="14">
        <f t="shared" si="3"/>
        <v>0</v>
      </c>
      <c r="S32" s="14">
        <v>0</v>
      </c>
      <c r="T32" s="14"/>
      <c r="U32" s="14">
        <f t="shared" si="4"/>
        <v>0</v>
      </c>
      <c r="V32" s="14">
        <v>0</v>
      </c>
      <c r="W32" s="14"/>
      <c r="X32" s="14">
        <f t="shared" si="5"/>
        <v>0</v>
      </c>
      <c r="Y32" s="14">
        <v>0</v>
      </c>
      <c r="Z32" s="14"/>
      <c r="AA32" s="14">
        <f t="shared" si="6"/>
        <v>0</v>
      </c>
      <c r="AB32" s="14">
        <v>0</v>
      </c>
      <c r="AC32" s="14">
        <v>0</v>
      </c>
      <c r="AD32" s="14">
        <v>0</v>
      </c>
      <c r="AE32" s="14">
        <v>0</v>
      </c>
      <c r="AF32" s="14">
        <v>0</v>
      </c>
      <c r="AG32" s="89">
        <v>0</v>
      </c>
      <c r="AH32" s="14"/>
      <c r="AI32" s="33"/>
      <c r="AJ32" s="117"/>
      <c r="AK32" s="117"/>
      <c r="AL32" s="117"/>
      <c r="AM32" s="117"/>
      <c r="AN32" s="117"/>
      <c r="AO32" s="117"/>
      <c r="AP32" s="117"/>
      <c r="AQ32" s="117"/>
      <c r="AR32" s="117"/>
      <c r="AS32" s="117"/>
      <c r="AT32" s="117"/>
      <c r="AU32" s="117"/>
      <c r="AV32" s="14"/>
      <c r="AW32" s="118"/>
      <c r="AX32" s="119"/>
      <c r="AY32" s="122"/>
      <c r="AZ32" s="123"/>
    </row>
    <row r="33" spans="1:54" ht="17.5" hidden="1" customHeight="1">
      <c r="A33" s="22"/>
      <c r="B33" s="34">
        <v>78513</v>
      </c>
      <c r="C33" s="14" t="s">
        <v>39</v>
      </c>
      <c r="D33" s="20" t="s">
        <v>102</v>
      </c>
      <c r="E33" s="20" t="s">
        <v>102</v>
      </c>
      <c r="F33" s="20"/>
      <c r="G33" s="14">
        <v>0</v>
      </c>
      <c r="H33" s="14"/>
      <c r="I33" s="14">
        <f t="shared" si="0"/>
        <v>0</v>
      </c>
      <c r="J33" s="14">
        <v>0</v>
      </c>
      <c r="K33" s="14"/>
      <c r="L33" s="14">
        <f t="shared" si="1"/>
        <v>0</v>
      </c>
      <c r="M33" s="14">
        <v>0</v>
      </c>
      <c r="N33" s="14"/>
      <c r="O33" s="14">
        <f t="shared" si="2"/>
        <v>0</v>
      </c>
      <c r="P33" s="14">
        <v>0</v>
      </c>
      <c r="Q33" s="14"/>
      <c r="R33" s="14">
        <f t="shared" si="3"/>
        <v>0</v>
      </c>
      <c r="S33" s="14">
        <v>0</v>
      </c>
      <c r="T33" s="14"/>
      <c r="U33" s="14">
        <f t="shared" si="4"/>
        <v>0</v>
      </c>
      <c r="V33" s="14">
        <v>0</v>
      </c>
      <c r="W33" s="14"/>
      <c r="X33" s="14">
        <f t="shared" si="5"/>
        <v>0</v>
      </c>
      <c r="Y33" s="14">
        <v>0</v>
      </c>
      <c r="Z33" s="14"/>
      <c r="AA33" s="14">
        <f t="shared" si="6"/>
        <v>0</v>
      </c>
      <c r="AB33" s="14">
        <v>0</v>
      </c>
      <c r="AC33" s="14">
        <v>0</v>
      </c>
      <c r="AD33" s="14">
        <v>0</v>
      </c>
      <c r="AE33" s="14">
        <v>0</v>
      </c>
      <c r="AF33" s="14">
        <v>0</v>
      </c>
      <c r="AG33" s="89">
        <v>0</v>
      </c>
      <c r="AH33" s="14"/>
      <c r="AI33" s="33"/>
      <c r="AJ33" s="117"/>
      <c r="AK33" s="117"/>
      <c r="AL33" s="117"/>
      <c r="AM33" s="117"/>
      <c r="AN33" s="117"/>
      <c r="AO33" s="117"/>
      <c r="AP33" s="117"/>
      <c r="AQ33" s="117"/>
      <c r="AR33" s="117"/>
      <c r="AS33" s="117"/>
      <c r="AT33" s="117"/>
      <c r="AU33" s="117"/>
      <c r="AV33" s="14"/>
      <c r="AW33" s="118"/>
      <c r="AX33" s="119"/>
      <c r="AY33" s="122"/>
      <c r="AZ33" s="123"/>
    </row>
    <row r="34" spans="1:54" ht="17.5" hidden="1" customHeight="1">
      <c r="A34" s="22"/>
      <c r="B34" s="34">
        <v>78521</v>
      </c>
      <c r="C34" s="14" t="s">
        <v>40</v>
      </c>
      <c r="D34" s="20" t="s">
        <v>102</v>
      </c>
      <c r="E34" s="20" t="s">
        <v>102</v>
      </c>
      <c r="F34" s="20"/>
      <c r="G34" s="14">
        <v>0</v>
      </c>
      <c r="H34" s="14"/>
      <c r="I34" s="14">
        <f t="shared" si="0"/>
        <v>0</v>
      </c>
      <c r="J34" s="14">
        <v>0</v>
      </c>
      <c r="K34" s="14"/>
      <c r="L34" s="14">
        <f t="shared" si="1"/>
        <v>0</v>
      </c>
      <c r="M34" s="14">
        <v>0</v>
      </c>
      <c r="N34" s="14"/>
      <c r="O34" s="14">
        <f t="shared" si="2"/>
        <v>0</v>
      </c>
      <c r="P34" s="14">
        <v>0</v>
      </c>
      <c r="Q34" s="14"/>
      <c r="R34" s="14">
        <f t="shared" si="3"/>
        <v>0</v>
      </c>
      <c r="S34" s="14">
        <v>0</v>
      </c>
      <c r="T34" s="14"/>
      <c r="U34" s="14">
        <f t="shared" si="4"/>
        <v>0</v>
      </c>
      <c r="V34" s="14">
        <v>0</v>
      </c>
      <c r="W34" s="14"/>
      <c r="X34" s="14">
        <f t="shared" si="5"/>
        <v>0</v>
      </c>
      <c r="Y34" s="14">
        <v>0</v>
      </c>
      <c r="Z34" s="14"/>
      <c r="AA34" s="14">
        <f t="shared" si="6"/>
        <v>0</v>
      </c>
      <c r="AB34" s="14">
        <v>0</v>
      </c>
      <c r="AC34" s="14">
        <v>0</v>
      </c>
      <c r="AD34" s="14">
        <v>0</v>
      </c>
      <c r="AE34" s="14">
        <v>0</v>
      </c>
      <c r="AF34" s="14">
        <v>0</v>
      </c>
      <c r="AG34" s="89">
        <v>0</v>
      </c>
      <c r="AH34" s="14"/>
      <c r="AI34" s="33"/>
      <c r="AJ34" s="117"/>
      <c r="AK34" s="117"/>
      <c r="AL34" s="117"/>
      <c r="AM34" s="117"/>
      <c r="AN34" s="117"/>
      <c r="AO34" s="117"/>
      <c r="AP34" s="117"/>
      <c r="AQ34" s="117"/>
      <c r="AR34" s="117"/>
      <c r="AS34" s="117"/>
      <c r="AT34" s="117"/>
      <c r="AU34" s="117"/>
      <c r="AV34" s="14"/>
      <c r="AW34" s="118"/>
      <c r="AX34" s="119"/>
      <c r="AY34" s="122"/>
      <c r="AZ34" s="123"/>
    </row>
    <row r="35" spans="1:54" ht="17.5" hidden="1" customHeight="1">
      <c r="A35" s="22"/>
      <c r="B35" s="34">
        <v>78522</v>
      </c>
      <c r="C35" s="14" t="s">
        <v>41</v>
      </c>
      <c r="D35" s="20" t="s">
        <v>102</v>
      </c>
      <c r="E35" s="20" t="s">
        <v>102</v>
      </c>
      <c r="F35" s="20"/>
      <c r="G35" s="14">
        <v>5800</v>
      </c>
      <c r="H35" s="14">
        <v>5850</v>
      </c>
      <c r="I35" s="14">
        <f t="shared" si="0"/>
        <v>-50</v>
      </c>
      <c r="J35" s="14">
        <v>0</v>
      </c>
      <c r="K35" s="14"/>
      <c r="L35" s="14">
        <f t="shared" si="1"/>
        <v>0</v>
      </c>
      <c r="M35" s="14">
        <v>0</v>
      </c>
      <c r="N35" s="14"/>
      <c r="O35" s="14">
        <f t="shared" si="2"/>
        <v>0</v>
      </c>
      <c r="P35" s="14">
        <v>0</v>
      </c>
      <c r="Q35" s="14"/>
      <c r="R35" s="14">
        <f t="shared" si="3"/>
        <v>0</v>
      </c>
      <c r="S35" s="14">
        <v>0</v>
      </c>
      <c r="T35" s="14"/>
      <c r="U35" s="14">
        <f t="shared" si="4"/>
        <v>0</v>
      </c>
      <c r="V35" s="14">
        <v>0</v>
      </c>
      <c r="W35" s="14"/>
      <c r="X35" s="14">
        <f t="shared" si="5"/>
        <v>0</v>
      </c>
      <c r="Y35" s="14">
        <v>0</v>
      </c>
      <c r="Z35" s="14"/>
      <c r="AA35" s="14">
        <f t="shared" si="6"/>
        <v>0</v>
      </c>
      <c r="AB35" s="14">
        <v>0</v>
      </c>
      <c r="AC35" s="14">
        <v>0</v>
      </c>
      <c r="AD35" s="14">
        <v>0</v>
      </c>
      <c r="AE35" s="14">
        <v>0</v>
      </c>
      <c r="AF35" s="14">
        <v>0</v>
      </c>
      <c r="AG35" s="89">
        <v>5800</v>
      </c>
      <c r="AH35" s="14"/>
      <c r="AI35" s="33"/>
      <c r="AJ35" s="117"/>
      <c r="AK35" s="117"/>
      <c r="AL35" s="117"/>
      <c r="AM35" s="117"/>
      <c r="AN35" s="117"/>
      <c r="AO35" s="117"/>
      <c r="AP35" s="117"/>
      <c r="AQ35" s="117"/>
      <c r="AR35" s="117"/>
      <c r="AS35" s="117"/>
      <c r="AT35" s="117"/>
      <c r="AU35" s="117"/>
      <c r="AV35" s="14"/>
      <c r="AW35" s="118"/>
      <c r="AX35" s="119"/>
      <c r="AY35" s="122"/>
      <c r="AZ35" s="123"/>
    </row>
    <row r="36" spans="1:54" ht="17.5" hidden="1" customHeight="1">
      <c r="A36" s="22"/>
      <c r="B36" s="34">
        <v>78534</v>
      </c>
      <c r="C36" s="14" t="s">
        <v>42</v>
      </c>
      <c r="D36" s="20" t="s">
        <v>102</v>
      </c>
      <c r="E36" s="20" t="s">
        <v>102</v>
      </c>
      <c r="F36" s="20"/>
      <c r="G36" s="14">
        <v>0</v>
      </c>
      <c r="H36" s="14"/>
      <c r="I36" s="14">
        <f t="shared" si="0"/>
        <v>0</v>
      </c>
      <c r="J36" s="14">
        <v>0</v>
      </c>
      <c r="K36" s="14"/>
      <c r="L36" s="14">
        <f t="shared" si="1"/>
        <v>0</v>
      </c>
      <c r="M36" s="14">
        <v>0</v>
      </c>
      <c r="N36" s="14"/>
      <c r="O36" s="14">
        <f t="shared" si="2"/>
        <v>0</v>
      </c>
      <c r="P36" s="14">
        <v>0</v>
      </c>
      <c r="Q36" s="14"/>
      <c r="R36" s="14">
        <f t="shared" si="3"/>
        <v>0</v>
      </c>
      <c r="S36" s="14">
        <v>0</v>
      </c>
      <c r="T36" s="14"/>
      <c r="U36" s="14">
        <f t="shared" si="4"/>
        <v>0</v>
      </c>
      <c r="V36" s="14">
        <v>0</v>
      </c>
      <c r="W36" s="14"/>
      <c r="X36" s="14">
        <f t="shared" si="5"/>
        <v>0</v>
      </c>
      <c r="Y36" s="14">
        <v>0</v>
      </c>
      <c r="Z36" s="14"/>
      <c r="AA36" s="14">
        <f t="shared" si="6"/>
        <v>0</v>
      </c>
      <c r="AB36" s="14">
        <v>0</v>
      </c>
      <c r="AC36" s="14">
        <v>0</v>
      </c>
      <c r="AD36" s="14">
        <v>0</v>
      </c>
      <c r="AE36" s="14">
        <v>0</v>
      </c>
      <c r="AF36" s="14">
        <v>0</v>
      </c>
      <c r="AG36" s="89">
        <v>0</v>
      </c>
      <c r="AH36" s="14"/>
      <c r="AI36" s="33"/>
      <c r="AJ36" s="117"/>
      <c r="AK36" s="117"/>
      <c r="AL36" s="117"/>
      <c r="AM36" s="117"/>
      <c r="AN36" s="117"/>
      <c r="AO36" s="117"/>
      <c r="AP36" s="117"/>
      <c r="AQ36" s="117"/>
      <c r="AR36" s="117"/>
      <c r="AS36" s="117"/>
      <c r="AT36" s="117"/>
      <c r="AU36" s="117"/>
      <c r="AV36" s="14"/>
      <c r="AW36" s="118"/>
      <c r="AX36" s="119"/>
      <c r="AY36" s="122"/>
      <c r="AZ36" s="123"/>
    </row>
    <row r="37" spans="1:54" ht="17.5" hidden="1" customHeight="1">
      <c r="A37" s="22"/>
      <c r="B37" s="34">
        <v>78539</v>
      </c>
      <c r="C37" s="14" t="s">
        <v>43</v>
      </c>
      <c r="D37" s="20" t="s">
        <v>102</v>
      </c>
      <c r="E37" s="20" t="s">
        <v>102</v>
      </c>
      <c r="F37" s="20"/>
      <c r="G37" s="14">
        <v>0</v>
      </c>
      <c r="H37" s="14"/>
      <c r="I37" s="14">
        <f t="shared" si="0"/>
        <v>0</v>
      </c>
      <c r="J37" s="14">
        <v>0</v>
      </c>
      <c r="K37" s="14"/>
      <c r="L37" s="14">
        <f t="shared" si="1"/>
        <v>0</v>
      </c>
      <c r="M37" s="14">
        <v>0</v>
      </c>
      <c r="N37" s="14"/>
      <c r="O37" s="14">
        <f t="shared" si="2"/>
        <v>0</v>
      </c>
      <c r="P37" s="14">
        <v>0</v>
      </c>
      <c r="Q37" s="14"/>
      <c r="R37" s="14">
        <f t="shared" si="3"/>
        <v>0</v>
      </c>
      <c r="S37" s="14">
        <v>0</v>
      </c>
      <c r="T37" s="14"/>
      <c r="U37" s="14">
        <f t="shared" si="4"/>
        <v>0</v>
      </c>
      <c r="V37" s="14">
        <v>0</v>
      </c>
      <c r="W37" s="14"/>
      <c r="X37" s="14">
        <f t="shared" si="5"/>
        <v>0</v>
      </c>
      <c r="Y37" s="14">
        <v>0</v>
      </c>
      <c r="Z37" s="14"/>
      <c r="AA37" s="14">
        <f t="shared" si="6"/>
        <v>0</v>
      </c>
      <c r="AB37" s="14">
        <v>0</v>
      </c>
      <c r="AC37" s="14">
        <v>0</v>
      </c>
      <c r="AD37" s="14">
        <v>0</v>
      </c>
      <c r="AE37" s="14">
        <v>0</v>
      </c>
      <c r="AF37" s="14">
        <v>0</v>
      </c>
      <c r="AG37" s="89">
        <v>0</v>
      </c>
      <c r="AH37" s="14"/>
      <c r="AI37" s="33"/>
      <c r="AJ37" s="117"/>
      <c r="AK37" s="117"/>
      <c r="AL37" s="117"/>
      <c r="AM37" s="117"/>
      <c r="AN37" s="117"/>
      <c r="AO37" s="117"/>
      <c r="AP37" s="117"/>
      <c r="AQ37" s="117"/>
      <c r="AR37" s="117"/>
      <c r="AS37" s="117"/>
      <c r="AT37" s="117"/>
      <c r="AU37" s="117"/>
      <c r="AV37" s="14"/>
      <c r="AW37" s="118"/>
      <c r="AX37" s="119"/>
      <c r="AY37" s="122"/>
      <c r="AZ37" s="123"/>
    </row>
    <row r="38" spans="1:54" ht="17.5" hidden="1" customHeight="1">
      <c r="A38" s="22"/>
      <c r="B38" s="34">
        <v>78551</v>
      </c>
      <c r="C38" s="14" t="s">
        <v>44</v>
      </c>
      <c r="D38" s="20" t="s">
        <v>102</v>
      </c>
      <c r="E38" s="20" t="s">
        <v>102</v>
      </c>
      <c r="F38" s="20"/>
      <c r="G38" s="14">
        <v>0</v>
      </c>
      <c r="H38" s="14"/>
      <c r="I38" s="14">
        <f t="shared" si="0"/>
        <v>0</v>
      </c>
      <c r="J38" s="14">
        <v>0</v>
      </c>
      <c r="K38" s="14"/>
      <c r="L38" s="14">
        <f t="shared" si="1"/>
        <v>0</v>
      </c>
      <c r="M38" s="14">
        <v>0</v>
      </c>
      <c r="N38" s="14"/>
      <c r="O38" s="14">
        <f t="shared" si="2"/>
        <v>0</v>
      </c>
      <c r="P38" s="14">
        <v>0</v>
      </c>
      <c r="Q38" s="14"/>
      <c r="R38" s="14">
        <f t="shared" si="3"/>
        <v>0</v>
      </c>
      <c r="S38" s="14">
        <v>0</v>
      </c>
      <c r="T38" s="14"/>
      <c r="U38" s="14">
        <f t="shared" si="4"/>
        <v>0</v>
      </c>
      <c r="V38" s="14">
        <v>0</v>
      </c>
      <c r="W38" s="14"/>
      <c r="X38" s="14">
        <f t="shared" si="5"/>
        <v>0</v>
      </c>
      <c r="Y38" s="14">
        <v>0</v>
      </c>
      <c r="Z38" s="14"/>
      <c r="AA38" s="14">
        <f t="shared" si="6"/>
        <v>0</v>
      </c>
      <c r="AB38" s="14">
        <v>0</v>
      </c>
      <c r="AC38" s="14">
        <v>0</v>
      </c>
      <c r="AD38" s="14">
        <v>0</v>
      </c>
      <c r="AE38" s="14">
        <v>0</v>
      </c>
      <c r="AF38" s="14">
        <v>0</v>
      </c>
      <c r="AG38" s="89">
        <v>0</v>
      </c>
      <c r="AH38" s="14"/>
      <c r="AI38" s="33"/>
      <c r="AJ38" s="117"/>
      <c r="AK38" s="117"/>
      <c r="AL38" s="117"/>
      <c r="AM38" s="117"/>
      <c r="AN38" s="117"/>
      <c r="AO38" s="117"/>
      <c r="AP38" s="117"/>
      <c r="AQ38" s="117"/>
      <c r="AR38" s="117"/>
      <c r="AS38" s="117"/>
      <c r="AT38" s="117"/>
      <c r="AU38" s="117"/>
      <c r="AV38" s="14"/>
      <c r="AW38" s="118"/>
      <c r="AX38" s="119"/>
      <c r="AY38" s="122"/>
      <c r="AZ38" s="123"/>
    </row>
    <row r="39" spans="1:54" ht="17.5" hidden="1" customHeight="1">
      <c r="A39" s="22"/>
      <c r="B39" s="34">
        <v>78561</v>
      </c>
      <c r="C39" s="14" t="s">
        <v>45</v>
      </c>
      <c r="D39" s="20" t="s">
        <v>102</v>
      </c>
      <c r="E39" s="20" t="s">
        <v>102</v>
      </c>
      <c r="F39" s="20"/>
      <c r="G39" s="14">
        <v>0</v>
      </c>
      <c r="H39" s="14"/>
      <c r="I39" s="14">
        <f t="shared" si="0"/>
        <v>0</v>
      </c>
      <c r="J39" s="14">
        <v>0</v>
      </c>
      <c r="K39" s="14"/>
      <c r="L39" s="14">
        <f t="shared" si="1"/>
        <v>0</v>
      </c>
      <c r="M39" s="14">
        <v>0</v>
      </c>
      <c r="N39" s="14"/>
      <c r="O39" s="14">
        <f t="shared" si="2"/>
        <v>0</v>
      </c>
      <c r="P39" s="14">
        <v>0</v>
      </c>
      <c r="Q39" s="14"/>
      <c r="R39" s="14">
        <f t="shared" si="3"/>
        <v>0</v>
      </c>
      <c r="S39" s="14">
        <v>0</v>
      </c>
      <c r="T39" s="14"/>
      <c r="U39" s="14">
        <f t="shared" si="4"/>
        <v>0</v>
      </c>
      <c r="V39" s="14">
        <v>0</v>
      </c>
      <c r="W39" s="14"/>
      <c r="X39" s="14">
        <f t="shared" si="5"/>
        <v>0</v>
      </c>
      <c r="Y39" s="14">
        <v>0</v>
      </c>
      <c r="Z39" s="14"/>
      <c r="AA39" s="14">
        <f t="shared" si="6"/>
        <v>0</v>
      </c>
      <c r="AB39" s="14">
        <v>0</v>
      </c>
      <c r="AC39" s="14">
        <v>0</v>
      </c>
      <c r="AD39" s="14">
        <v>0</v>
      </c>
      <c r="AE39" s="14">
        <v>0</v>
      </c>
      <c r="AF39" s="14">
        <v>0</v>
      </c>
      <c r="AG39" s="89">
        <v>0</v>
      </c>
      <c r="AH39" s="14"/>
      <c r="AI39" s="33"/>
      <c r="AJ39" s="117"/>
      <c r="AK39" s="117"/>
      <c r="AL39" s="117"/>
      <c r="AM39" s="117"/>
      <c r="AN39" s="117"/>
      <c r="AO39" s="117"/>
      <c r="AP39" s="117"/>
      <c r="AQ39" s="117"/>
      <c r="AR39" s="117"/>
      <c r="AS39" s="117"/>
      <c r="AT39" s="117"/>
      <c r="AU39" s="117"/>
      <c r="AV39" s="14"/>
      <c r="AW39" s="118"/>
      <c r="AX39" s="119"/>
      <c r="AY39" s="122"/>
      <c r="AZ39" s="123"/>
    </row>
    <row r="40" spans="1:54" ht="17.5" hidden="1" customHeight="1">
      <c r="A40" s="22"/>
      <c r="B40" s="34">
        <v>78564</v>
      </c>
      <c r="C40" s="14" t="s">
        <v>46</v>
      </c>
      <c r="D40" s="20" t="s">
        <v>102</v>
      </c>
      <c r="E40" s="20" t="s">
        <v>102</v>
      </c>
      <c r="F40" s="20"/>
      <c r="G40" s="14">
        <v>0</v>
      </c>
      <c r="H40" s="14"/>
      <c r="I40" s="14">
        <f t="shared" si="0"/>
        <v>0</v>
      </c>
      <c r="J40" s="14">
        <v>0</v>
      </c>
      <c r="K40" s="14"/>
      <c r="L40" s="14">
        <f t="shared" si="1"/>
        <v>0</v>
      </c>
      <c r="M40" s="14">
        <v>0</v>
      </c>
      <c r="N40" s="14"/>
      <c r="O40" s="14">
        <f t="shared" si="2"/>
        <v>0</v>
      </c>
      <c r="P40" s="14">
        <v>0</v>
      </c>
      <c r="Q40" s="14"/>
      <c r="R40" s="14">
        <f t="shared" si="3"/>
        <v>0</v>
      </c>
      <c r="S40" s="14">
        <v>0</v>
      </c>
      <c r="T40" s="14"/>
      <c r="U40" s="14">
        <f t="shared" si="4"/>
        <v>0</v>
      </c>
      <c r="V40" s="14">
        <v>0</v>
      </c>
      <c r="W40" s="14"/>
      <c r="X40" s="14">
        <f t="shared" si="5"/>
        <v>0</v>
      </c>
      <c r="Y40" s="14">
        <v>0</v>
      </c>
      <c r="Z40" s="14"/>
      <c r="AA40" s="14">
        <f t="shared" si="6"/>
        <v>0</v>
      </c>
      <c r="AB40" s="14">
        <v>0</v>
      </c>
      <c r="AC40" s="14">
        <v>0</v>
      </c>
      <c r="AD40" s="14">
        <v>0</v>
      </c>
      <c r="AE40" s="14">
        <v>0</v>
      </c>
      <c r="AF40" s="14">
        <v>0</v>
      </c>
      <c r="AG40" s="89">
        <v>0</v>
      </c>
      <c r="AH40" s="14"/>
      <c r="AI40" s="33"/>
      <c r="AJ40" s="117"/>
      <c r="AK40" s="117"/>
      <c r="AL40" s="117"/>
      <c r="AM40" s="117"/>
      <c r="AN40" s="117"/>
      <c r="AO40" s="117"/>
      <c r="AP40" s="117"/>
      <c r="AQ40" s="117"/>
      <c r="AR40" s="117"/>
      <c r="AS40" s="117"/>
      <c r="AT40" s="117"/>
      <c r="AU40" s="117"/>
      <c r="AV40" s="14"/>
      <c r="AW40" s="118"/>
      <c r="AX40" s="119"/>
      <c r="AY40" s="122"/>
      <c r="AZ40" s="123"/>
    </row>
    <row r="41" spans="1:54" ht="17.5" customHeight="1">
      <c r="A41" s="22"/>
      <c r="B41" s="34">
        <v>78581</v>
      </c>
      <c r="C41" s="14" t="s">
        <v>47</v>
      </c>
      <c r="D41" s="20" t="s">
        <v>102</v>
      </c>
      <c r="E41" s="20" t="s">
        <v>102</v>
      </c>
      <c r="F41" s="20"/>
      <c r="G41" s="14">
        <v>110</v>
      </c>
      <c r="H41" s="14"/>
      <c r="I41" s="14">
        <f t="shared" si="0"/>
        <v>110</v>
      </c>
      <c r="J41" s="14">
        <v>110</v>
      </c>
      <c r="K41" s="14">
        <v>195</v>
      </c>
      <c r="L41" s="14">
        <f t="shared" si="1"/>
        <v>-85</v>
      </c>
      <c r="M41" s="14">
        <v>130</v>
      </c>
      <c r="N41" s="14"/>
      <c r="O41" s="14">
        <f t="shared" si="2"/>
        <v>130</v>
      </c>
      <c r="P41" s="14">
        <v>130</v>
      </c>
      <c r="Q41" s="14"/>
      <c r="R41" s="14">
        <f t="shared" si="3"/>
        <v>130</v>
      </c>
      <c r="S41" s="14">
        <v>110</v>
      </c>
      <c r="T41" s="14"/>
      <c r="U41" s="14">
        <f t="shared" si="4"/>
        <v>110</v>
      </c>
      <c r="V41" s="14">
        <v>130</v>
      </c>
      <c r="W41" s="14"/>
      <c r="X41" s="14">
        <f t="shared" si="5"/>
        <v>130</v>
      </c>
      <c r="Y41" s="14">
        <v>110</v>
      </c>
      <c r="Z41" s="14">
        <v>160</v>
      </c>
      <c r="AA41" s="14">
        <f t="shared" si="6"/>
        <v>-50</v>
      </c>
      <c r="AB41" s="14">
        <v>130</v>
      </c>
      <c r="AC41" s="14">
        <v>130</v>
      </c>
      <c r="AD41" s="14">
        <v>110</v>
      </c>
      <c r="AE41" s="14">
        <v>120</v>
      </c>
      <c r="AF41" s="14">
        <v>130</v>
      </c>
      <c r="AG41" s="89">
        <v>1450</v>
      </c>
      <c r="AH41" s="14"/>
      <c r="AI41" s="33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4"/>
      <c r="AW41" s="118"/>
      <c r="AX41" s="119"/>
      <c r="AY41" s="122"/>
      <c r="AZ41" s="123"/>
      <c r="BA41" s="124"/>
    </row>
    <row r="42" spans="1:54" ht="17.5" hidden="1" customHeight="1">
      <c r="A42" s="22"/>
      <c r="B42" s="34">
        <v>78582</v>
      </c>
      <c r="C42" s="14" t="s">
        <v>48</v>
      </c>
      <c r="D42" s="20" t="s">
        <v>102</v>
      </c>
      <c r="E42" s="20" t="s">
        <v>102</v>
      </c>
      <c r="F42" s="20"/>
      <c r="G42" s="14">
        <v>0</v>
      </c>
      <c r="H42" s="14"/>
      <c r="I42" s="14">
        <f t="shared" si="0"/>
        <v>0</v>
      </c>
      <c r="J42" s="14">
        <v>0</v>
      </c>
      <c r="K42" s="14"/>
      <c r="L42" s="14">
        <f t="shared" si="1"/>
        <v>0</v>
      </c>
      <c r="M42" s="14">
        <v>0</v>
      </c>
      <c r="N42" s="14"/>
      <c r="O42" s="14">
        <f t="shared" si="2"/>
        <v>0</v>
      </c>
      <c r="P42" s="14">
        <v>0</v>
      </c>
      <c r="Q42" s="14"/>
      <c r="R42" s="14">
        <f t="shared" si="3"/>
        <v>0</v>
      </c>
      <c r="S42" s="14">
        <v>0</v>
      </c>
      <c r="T42" s="14"/>
      <c r="U42" s="14">
        <f t="shared" si="4"/>
        <v>0</v>
      </c>
      <c r="V42" s="14">
        <v>0</v>
      </c>
      <c r="W42" s="14"/>
      <c r="X42" s="14">
        <f t="shared" si="5"/>
        <v>0</v>
      </c>
      <c r="Y42" s="14">
        <v>0</v>
      </c>
      <c r="Z42" s="14"/>
      <c r="AA42" s="14">
        <f t="shared" si="6"/>
        <v>0</v>
      </c>
      <c r="AB42" s="14">
        <v>0</v>
      </c>
      <c r="AC42" s="14">
        <v>0</v>
      </c>
      <c r="AD42" s="14">
        <v>0</v>
      </c>
      <c r="AE42" s="14">
        <v>0</v>
      </c>
      <c r="AF42" s="14">
        <v>0</v>
      </c>
      <c r="AG42" s="89">
        <v>0</v>
      </c>
      <c r="AH42" s="14"/>
      <c r="AI42" s="33"/>
      <c r="AJ42" s="117"/>
      <c r="AK42" s="117"/>
      <c r="AL42" s="117"/>
      <c r="AM42" s="117"/>
      <c r="AN42" s="117"/>
      <c r="AO42" s="117"/>
      <c r="AP42" s="117"/>
      <c r="AQ42" s="117"/>
      <c r="AR42" s="117"/>
      <c r="AS42" s="117"/>
      <c r="AT42" s="117"/>
      <c r="AU42" s="117"/>
      <c r="AV42" s="14"/>
      <c r="AW42" s="118"/>
      <c r="AX42" s="119"/>
      <c r="AY42" s="122"/>
      <c r="AZ42" s="123"/>
    </row>
    <row r="43" spans="1:54" ht="17.5" hidden="1" customHeight="1">
      <c r="A43" s="22"/>
      <c r="B43" s="34">
        <v>78583</v>
      </c>
      <c r="C43" s="14" t="s">
        <v>49</v>
      </c>
      <c r="D43" s="20" t="s">
        <v>102</v>
      </c>
      <c r="E43" s="20" t="s">
        <v>102</v>
      </c>
      <c r="F43" s="20"/>
      <c r="G43" s="14">
        <v>0</v>
      </c>
      <c r="H43" s="14"/>
      <c r="I43" s="14">
        <f t="shared" si="0"/>
        <v>0</v>
      </c>
      <c r="J43" s="14">
        <v>0</v>
      </c>
      <c r="K43" s="14"/>
      <c r="L43" s="14">
        <f t="shared" si="1"/>
        <v>0</v>
      </c>
      <c r="M43" s="14">
        <v>0</v>
      </c>
      <c r="N43" s="14"/>
      <c r="O43" s="14">
        <f t="shared" si="2"/>
        <v>0</v>
      </c>
      <c r="P43" s="14">
        <v>0</v>
      </c>
      <c r="Q43" s="14"/>
      <c r="R43" s="14">
        <f t="shared" si="3"/>
        <v>0</v>
      </c>
      <c r="S43" s="14">
        <v>0</v>
      </c>
      <c r="T43" s="14"/>
      <c r="U43" s="14">
        <f t="shared" si="4"/>
        <v>0</v>
      </c>
      <c r="V43" s="14">
        <v>0</v>
      </c>
      <c r="W43" s="14"/>
      <c r="X43" s="14">
        <f t="shared" si="5"/>
        <v>0</v>
      </c>
      <c r="Y43" s="14">
        <v>0</v>
      </c>
      <c r="Z43" s="14"/>
      <c r="AA43" s="14">
        <f t="shared" si="6"/>
        <v>0</v>
      </c>
      <c r="AB43" s="14">
        <v>0</v>
      </c>
      <c r="AC43" s="14">
        <v>0</v>
      </c>
      <c r="AD43" s="14">
        <v>0</v>
      </c>
      <c r="AE43" s="14">
        <v>0</v>
      </c>
      <c r="AF43" s="14">
        <v>191</v>
      </c>
      <c r="AG43" s="89">
        <v>191</v>
      </c>
      <c r="AH43" s="14"/>
      <c r="AI43" s="33"/>
      <c r="AJ43" s="117"/>
      <c r="AK43" s="117"/>
      <c r="AL43" s="117"/>
      <c r="AM43" s="117"/>
      <c r="AN43" s="117"/>
      <c r="AO43" s="117"/>
      <c r="AP43" s="117"/>
      <c r="AQ43" s="117"/>
      <c r="AR43" s="117"/>
      <c r="AS43" s="117"/>
      <c r="AT43" s="117"/>
      <c r="AU43" s="117"/>
      <c r="AV43" s="14"/>
      <c r="AW43" s="118"/>
      <c r="AX43" s="119"/>
      <c r="AY43" s="122"/>
      <c r="AZ43" s="123"/>
    </row>
    <row r="44" spans="1:54" ht="17.5" hidden="1" customHeight="1">
      <c r="A44" s="22"/>
      <c r="B44" s="34">
        <v>78591</v>
      </c>
      <c r="C44" s="14" t="s">
        <v>50</v>
      </c>
      <c r="D44" s="20" t="s">
        <v>102</v>
      </c>
      <c r="E44" s="20" t="s">
        <v>102</v>
      </c>
      <c r="F44" s="20"/>
      <c r="G44" s="14">
        <v>0</v>
      </c>
      <c r="H44" s="14"/>
      <c r="I44" s="14">
        <f t="shared" si="0"/>
        <v>0</v>
      </c>
      <c r="J44" s="14">
        <v>0</v>
      </c>
      <c r="K44" s="14"/>
      <c r="L44" s="14">
        <f t="shared" si="1"/>
        <v>0</v>
      </c>
      <c r="M44" s="14">
        <v>0</v>
      </c>
      <c r="N44" s="14"/>
      <c r="O44" s="14">
        <f t="shared" si="2"/>
        <v>0</v>
      </c>
      <c r="P44" s="14">
        <v>0</v>
      </c>
      <c r="Q44" s="14"/>
      <c r="R44" s="14">
        <f t="shared" si="3"/>
        <v>0</v>
      </c>
      <c r="S44" s="14">
        <v>0</v>
      </c>
      <c r="T44" s="14"/>
      <c r="U44" s="14">
        <f t="shared" si="4"/>
        <v>0</v>
      </c>
      <c r="V44" s="14">
        <v>0</v>
      </c>
      <c r="W44" s="14"/>
      <c r="X44" s="14">
        <f t="shared" si="5"/>
        <v>0</v>
      </c>
      <c r="Y44" s="14">
        <v>0</v>
      </c>
      <c r="Z44" s="14"/>
      <c r="AA44" s="14">
        <f t="shared" si="6"/>
        <v>0</v>
      </c>
      <c r="AB44" s="14">
        <v>0</v>
      </c>
      <c r="AC44" s="14">
        <v>0</v>
      </c>
      <c r="AD44" s="14">
        <v>0</v>
      </c>
      <c r="AE44" s="14">
        <v>0</v>
      </c>
      <c r="AF44" s="14">
        <v>0</v>
      </c>
      <c r="AG44" s="89">
        <v>0</v>
      </c>
      <c r="AH44" s="14"/>
      <c r="AI44" s="33"/>
      <c r="AJ44" s="117"/>
      <c r="AK44" s="117"/>
      <c r="AL44" s="117"/>
      <c r="AM44" s="117"/>
      <c r="AN44" s="117"/>
      <c r="AO44" s="117"/>
      <c r="AP44" s="117"/>
      <c r="AQ44" s="117"/>
      <c r="AR44" s="117"/>
      <c r="AS44" s="117"/>
      <c r="AT44" s="117"/>
      <c r="AU44" s="117"/>
      <c r="AV44" s="14"/>
      <c r="AW44" s="118"/>
      <c r="AX44" s="119"/>
      <c r="AY44" s="122"/>
      <c r="AZ44" s="123"/>
    </row>
    <row r="45" spans="1:54" ht="17.5" hidden="1" customHeight="1">
      <c r="A45" s="22"/>
      <c r="B45" s="34">
        <v>78592</v>
      </c>
      <c r="C45" s="14" t="s">
        <v>51</v>
      </c>
      <c r="D45" s="20" t="s">
        <v>102</v>
      </c>
      <c r="E45" s="20" t="s">
        <v>102</v>
      </c>
      <c r="F45" s="20"/>
      <c r="G45" s="14">
        <v>0</v>
      </c>
      <c r="H45" s="14"/>
      <c r="I45" s="14">
        <f t="shared" si="0"/>
        <v>0</v>
      </c>
      <c r="J45" s="14">
        <v>0</v>
      </c>
      <c r="K45" s="14"/>
      <c r="L45" s="14">
        <f t="shared" si="1"/>
        <v>0</v>
      </c>
      <c r="M45" s="14">
        <v>0</v>
      </c>
      <c r="N45" s="14"/>
      <c r="O45" s="14">
        <f t="shared" si="2"/>
        <v>0</v>
      </c>
      <c r="P45" s="14">
        <v>0</v>
      </c>
      <c r="Q45" s="14"/>
      <c r="R45" s="14">
        <f t="shared" si="3"/>
        <v>0</v>
      </c>
      <c r="S45" s="14">
        <v>0</v>
      </c>
      <c r="T45" s="14"/>
      <c r="U45" s="14">
        <f t="shared" si="4"/>
        <v>0</v>
      </c>
      <c r="V45" s="14">
        <v>0</v>
      </c>
      <c r="W45" s="14"/>
      <c r="X45" s="14">
        <f t="shared" si="5"/>
        <v>0</v>
      </c>
      <c r="Y45" s="14">
        <v>0</v>
      </c>
      <c r="Z45" s="14"/>
      <c r="AA45" s="14">
        <f t="shared" si="6"/>
        <v>0</v>
      </c>
      <c r="AB45" s="14">
        <v>0</v>
      </c>
      <c r="AC45" s="14">
        <v>0</v>
      </c>
      <c r="AD45" s="14">
        <v>0</v>
      </c>
      <c r="AE45" s="14">
        <v>0</v>
      </c>
      <c r="AF45" s="14">
        <v>0</v>
      </c>
      <c r="AG45" s="89">
        <v>0</v>
      </c>
      <c r="AH45" s="14"/>
      <c r="AI45" s="33"/>
      <c r="AJ45" s="117"/>
      <c r="AK45" s="117"/>
      <c r="AL45" s="117"/>
      <c r="AM45" s="117"/>
      <c r="AN45" s="117"/>
      <c r="AO45" s="117"/>
      <c r="AP45" s="117"/>
      <c r="AQ45" s="117"/>
      <c r="AR45" s="117"/>
      <c r="AS45" s="117"/>
      <c r="AT45" s="117"/>
      <c r="AU45" s="117"/>
      <c r="AV45" s="14"/>
      <c r="AW45" s="118"/>
      <c r="AX45" s="119"/>
      <c r="AY45" s="122"/>
      <c r="AZ45" s="123"/>
    </row>
    <row r="46" spans="1:54" ht="17.5" customHeight="1">
      <c r="A46" s="22"/>
      <c r="B46" s="34">
        <v>78593</v>
      </c>
      <c r="C46" s="14" t="s">
        <v>52</v>
      </c>
      <c r="D46" s="20" t="s">
        <v>102</v>
      </c>
      <c r="E46" s="20" t="s">
        <v>102</v>
      </c>
      <c r="F46" s="20"/>
      <c r="G46" s="14">
        <v>210</v>
      </c>
      <c r="H46" s="14">
        <v>190</v>
      </c>
      <c r="I46" s="14">
        <f t="shared" si="0"/>
        <v>20</v>
      </c>
      <c r="J46" s="14">
        <v>210</v>
      </c>
      <c r="K46" s="14">
        <v>234</v>
      </c>
      <c r="L46" s="14">
        <f t="shared" si="1"/>
        <v>-24</v>
      </c>
      <c r="M46" s="14">
        <v>210</v>
      </c>
      <c r="N46" s="14">
        <v>117</v>
      </c>
      <c r="O46" s="14">
        <f t="shared" si="2"/>
        <v>93</v>
      </c>
      <c r="P46" s="14">
        <v>210</v>
      </c>
      <c r="Q46" s="14">
        <v>222</v>
      </c>
      <c r="R46" s="14">
        <f t="shared" si="3"/>
        <v>-12</v>
      </c>
      <c r="S46" s="14">
        <v>210</v>
      </c>
      <c r="T46" s="14">
        <v>211</v>
      </c>
      <c r="U46" s="14">
        <f t="shared" si="4"/>
        <v>-1</v>
      </c>
      <c r="V46" s="14">
        <v>210</v>
      </c>
      <c r="W46" s="14">
        <v>249</v>
      </c>
      <c r="X46" s="14">
        <f t="shared" si="5"/>
        <v>-39</v>
      </c>
      <c r="Y46" s="14">
        <v>210</v>
      </c>
      <c r="Z46" s="14">
        <v>243</v>
      </c>
      <c r="AA46" s="14">
        <f t="shared" si="6"/>
        <v>-33</v>
      </c>
      <c r="AB46" s="14">
        <v>210</v>
      </c>
      <c r="AC46" s="14">
        <v>210</v>
      </c>
      <c r="AD46" s="14">
        <v>210</v>
      </c>
      <c r="AE46" s="14">
        <v>210</v>
      </c>
      <c r="AF46" s="14">
        <v>210</v>
      </c>
      <c r="AG46" s="89">
        <v>2520</v>
      </c>
      <c r="AH46" s="14"/>
      <c r="AI46" s="33"/>
      <c r="AJ46" s="117"/>
      <c r="AK46" s="117"/>
      <c r="AL46" s="117"/>
      <c r="AM46" s="117"/>
      <c r="AN46" s="117"/>
      <c r="AO46" s="117"/>
      <c r="AP46" s="117"/>
      <c r="AQ46" s="117"/>
      <c r="AR46" s="117"/>
      <c r="AS46" s="117"/>
      <c r="AT46" s="117"/>
      <c r="AU46" s="117"/>
      <c r="AV46" s="14"/>
      <c r="AW46" s="118"/>
      <c r="AX46" s="119"/>
      <c r="AY46" s="122"/>
      <c r="AZ46" s="123"/>
      <c r="BB46" s="124"/>
    </row>
    <row r="47" spans="1:54" ht="17.5" customHeight="1">
      <c r="A47" s="22"/>
      <c r="B47" s="34">
        <v>78595</v>
      </c>
      <c r="C47" s="14" t="s">
        <v>53</v>
      </c>
      <c r="D47" s="20" t="s">
        <v>102</v>
      </c>
      <c r="E47" s="20" t="s">
        <v>102</v>
      </c>
      <c r="F47" s="20"/>
      <c r="G47" s="14">
        <v>0</v>
      </c>
      <c r="H47" s="14">
        <v>30.5</v>
      </c>
      <c r="I47" s="14">
        <f t="shared" si="0"/>
        <v>-30.5</v>
      </c>
      <c r="J47" s="14">
        <v>0</v>
      </c>
      <c r="K47" s="14">
        <v>30.5</v>
      </c>
      <c r="L47" s="14">
        <f t="shared" si="1"/>
        <v>-30.5</v>
      </c>
      <c r="M47" s="14">
        <v>0</v>
      </c>
      <c r="N47" s="14">
        <v>30.5</v>
      </c>
      <c r="O47" s="14">
        <f t="shared" si="2"/>
        <v>-30.5</v>
      </c>
      <c r="P47" s="14">
        <v>0</v>
      </c>
      <c r="Q47" s="14">
        <v>30.547999999999998</v>
      </c>
      <c r="R47" s="14">
        <f t="shared" si="3"/>
        <v>-30.547999999999998</v>
      </c>
      <c r="S47" s="14">
        <v>0</v>
      </c>
      <c r="T47" s="14">
        <v>30.5</v>
      </c>
      <c r="U47" s="14">
        <f t="shared" si="4"/>
        <v>-30.5</v>
      </c>
      <c r="V47" s="14">
        <v>0</v>
      </c>
      <c r="W47" s="14">
        <v>30.5</v>
      </c>
      <c r="X47" s="14">
        <f t="shared" si="5"/>
        <v>-30.5</v>
      </c>
      <c r="Y47" s="14">
        <v>0</v>
      </c>
      <c r="Z47" s="14">
        <v>30.5</v>
      </c>
      <c r="AA47" s="14">
        <f t="shared" si="6"/>
        <v>-30.5</v>
      </c>
      <c r="AB47" s="14">
        <v>0</v>
      </c>
      <c r="AC47" s="14">
        <v>0</v>
      </c>
      <c r="AD47" s="14">
        <v>0</v>
      </c>
      <c r="AE47" s="14">
        <v>0</v>
      </c>
      <c r="AF47" s="14">
        <v>0</v>
      </c>
      <c r="AG47" s="89">
        <v>0</v>
      </c>
      <c r="AH47" s="14"/>
      <c r="AI47" s="33"/>
      <c r="AJ47" s="117"/>
      <c r="AK47" s="117"/>
      <c r="AL47" s="117"/>
      <c r="AM47" s="117"/>
      <c r="AN47" s="117"/>
      <c r="AO47" s="117"/>
      <c r="AP47" s="117"/>
      <c r="AQ47" s="117"/>
      <c r="AR47" s="117"/>
      <c r="AS47" s="117"/>
      <c r="AT47" s="117"/>
      <c r="AU47" s="117"/>
      <c r="AV47" s="14"/>
      <c r="AW47" s="118"/>
      <c r="AX47" s="119"/>
      <c r="AY47" s="122"/>
      <c r="AZ47" s="123"/>
    </row>
    <row r="48" spans="1:54" ht="17.5" hidden="1" customHeight="1">
      <c r="A48" s="22"/>
      <c r="B48" s="34">
        <v>78596</v>
      </c>
      <c r="C48" s="14" t="s">
        <v>54</v>
      </c>
      <c r="D48" s="20" t="s">
        <v>102</v>
      </c>
      <c r="E48" s="20" t="s">
        <v>102</v>
      </c>
      <c r="F48" s="20"/>
      <c r="G48" s="14">
        <v>0</v>
      </c>
      <c r="H48" s="14"/>
      <c r="I48" s="14">
        <f t="shared" si="0"/>
        <v>0</v>
      </c>
      <c r="J48" s="14">
        <v>0</v>
      </c>
      <c r="K48" s="14"/>
      <c r="L48" s="14">
        <f t="shared" si="1"/>
        <v>0</v>
      </c>
      <c r="M48" s="14">
        <v>0</v>
      </c>
      <c r="N48" s="14"/>
      <c r="O48" s="14">
        <f t="shared" si="2"/>
        <v>0</v>
      </c>
      <c r="P48" s="14">
        <v>0</v>
      </c>
      <c r="Q48" s="14"/>
      <c r="R48" s="14">
        <f t="shared" si="3"/>
        <v>0</v>
      </c>
      <c r="S48" s="14">
        <v>0</v>
      </c>
      <c r="T48" s="14"/>
      <c r="U48" s="14">
        <f t="shared" si="4"/>
        <v>0</v>
      </c>
      <c r="V48" s="14">
        <v>0</v>
      </c>
      <c r="W48" s="14"/>
      <c r="X48" s="14">
        <f t="shared" si="5"/>
        <v>0</v>
      </c>
      <c r="Y48" s="14">
        <v>0</v>
      </c>
      <c r="Z48" s="14"/>
      <c r="AA48" s="14">
        <f t="shared" si="6"/>
        <v>0</v>
      </c>
      <c r="AB48" s="14">
        <v>0</v>
      </c>
      <c r="AC48" s="14">
        <v>0</v>
      </c>
      <c r="AD48" s="14">
        <v>0</v>
      </c>
      <c r="AE48" s="14">
        <v>0</v>
      </c>
      <c r="AF48" s="14">
        <v>0</v>
      </c>
      <c r="AG48" s="89">
        <v>0</v>
      </c>
      <c r="AH48" s="14"/>
      <c r="AI48" s="33"/>
      <c r="AJ48" s="117"/>
      <c r="AK48" s="117"/>
      <c r="AL48" s="117"/>
      <c r="AM48" s="117"/>
      <c r="AN48" s="117"/>
      <c r="AO48" s="117"/>
      <c r="AP48" s="117"/>
      <c r="AQ48" s="117"/>
      <c r="AR48" s="117"/>
      <c r="AS48" s="117"/>
      <c r="AT48" s="117"/>
      <c r="AU48" s="117"/>
      <c r="AV48" s="14"/>
      <c r="AW48" s="118"/>
      <c r="AX48" s="119"/>
      <c r="AY48" s="122"/>
      <c r="AZ48" s="123"/>
    </row>
    <row r="49" spans="1:52" ht="17.5" customHeight="1">
      <c r="A49" s="22"/>
      <c r="B49" s="34">
        <v>78597</v>
      </c>
      <c r="C49" s="14" t="s">
        <v>55</v>
      </c>
      <c r="D49" s="20" t="s">
        <v>102</v>
      </c>
      <c r="E49" s="20" t="s">
        <v>102</v>
      </c>
      <c r="F49" s="20"/>
      <c r="G49" s="14">
        <v>506.33800000000002</v>
      </c>
      <c r="H49" s="14">
        <v>517.58900000000006</v>
      </c>
      <c r="I49" s="14">
        <f t="shared" si="0"/>
        <v>-11.251000000000033</v>
      </c>
      <c r="J49" s="14">
        <v>519.33799999999997</v>
      </c>
      <c r="K49" s="14">
        <v>515.64200000000005</v>
      </c>
      <c r="L49" s="14">
        <f t="shared" si="1"/>
        <v>3.6959999999999127</v>
      </c>
      <c r="M49" s="14">
        <v>507.33800000000002</v>
      </c>
      <c r="N49" s="14">
        <v>714.96699999999998</v>
      </c>
      <c r="O49" s="14">
        <f t="shared" si="2"/>
        <v>-207.62899999999996</v>
      </c>
      <c r="P49" s="14">
        <v>519.33799999999997</v>
      </c>
      <c r="Q49" s="14">
        <v>538.57299999999998</v>
      </c>
      <c r="R49" s="14">
        <f t="shared" si="3"/>
        <v>-19.235000000000014</v>
      </c>
      <c r="S49" s="14">
        <v>507.33800000000002</v>
      </c>
      <c r="T49" s="14">
        <v>772.73099999999999</v>
      </c>
      <c r="U49" s="14">
        <f t="shared" si="4"/>
        <v>-265.39299999999997</v>
      </c>
      <c r="V49" s="14">
        <v>519.33799999999997</v>
      </c>
      <c r="W49" s="14">
        <v>756.28200000000004</v>
      </c>
      <c r="X49" s="14">
        <f t="shared" si="5"/>
        <v>-236.94400000000007</v>
      </c>
      <c r="Y49" s="14">
        <v>506.33800000000002</v>
      </c>
      <c r="Z49" s="14">
        <v>546.79700000000003</v>
      </c>
      <c r="AA49" s="14">
        <f t="shared" si="6"/>
        <v>-40.459000000000003</v>
      </c>
      <c r="AB49" s="14">
        <v>519.33799999999997</v>
      </c>
      <c r="AC49" s="14">
        <v>507.33800000000002</v>
      </c>
      <c r="AD49" s="14">
        <v>519.33799999999997</v>
      </c>
      <c r="AE49" s="14">
        <v>507.33800000000002</v>
      </c>
      <c r="AF49" s="14">
        <v>519.33799999999997</v>
      </c>
      <c r="AG49" s="89">
        <v>6158.0559999999987</v>
      </c>
      <c r="AH49" s="14"/>
      <c r="AI49" s="33"/>
      <c r="AJ49" s="117"/>
      <c r="AK49" s="117"/>
      <c r="AL49" s="117"/>
      <c r="AM49" s="117"/>
      <c r="AN49" s="117"/>
      <c r="AO49" s="117"/>
      <c r="AP49" s="117"/>
      <c r="AQ49" s="117"/>
      <c r="AR49" s="117"/>
      <c r="AS49" s="117"/>
      <c r="AT49" s="117"/>
      <c r="AU49" s="117"/>
      <c r="AV49" s="14"/>
      <c r="AW49" s="118"/>
      <c r="AX49" s="119"/>
      <c r="AY49" s="122"/>
      <c r="AZ49" s="123"/>
    </row>
    <row r="50" spans="1:52" ht="17.5" customHeight="1">
      <c r="A50" s="22"/>
      <c r="B50" s="34">
        <v>78598</v>
      </c>
      <c r="C50" s="14" t="s">
        <v>189</v>
      </c>
      <c r="D50" s="20" t="s">
        <v>102</v>
      </c>
      <c r="E50" s="20" t="s">
        <v>102</v>
      </c>
      <c r="F50" s="20"/>
      <c r="G50" s="14">
        <v>180</v>
      </c>
      <c r="H50" s="14">
        <v>17.100000000000001</v>
      </c>
      <c r="I50" s="14">
        <f t="shared" si="0"/>
        <v>162.9</v>
      </c>
      <c r="J50" s="14">
        <v>200</v>
      </c>
      <c r="K50" s="14"/>
      <c r="L50" s="14">
        <f t="shared" si="1"/>
        <v>200</v>
      </c>
      <c r="M50" s="14">
        <v>180</v>
      </c>
      <c r="N50" s="14"/>
      <c r="O50" s="14">
        <f t="shared" si="2"/>
        <v>180</v>
      </c>
      <c r="P50" s="14">
        <v>180</v>
      </c>
      <c r="Q50" s="14">
        <v>5.5</v>
      </c>
      <c r="R50" s="14">
        <f t="shared" si="3"/>
        <v>174.5</v>
      </c>
      <c r="S50" s="14">
        <v>180</v>
      </c>
      <c r="T50" s="14">
        <v>11</v>
      </c>
      <c r="U50" s="14">
        <f t="shared" si="4"/>
        <v>169</v>
      </c>
      <c r="V50" s="14">
        <v>180</v>
      </c>
      <c r="W50" s="14">
        <v>11.5</v>
      </c>
      <c r="X50" s="14">
        <f t="shared" si="5"/>
        <v>168.5</v>
      </c>
      <c r="Y50" s="14">
        <v>180</v>
      </c>
      <c r="Z50" s="14">
        <v>123.98</v>
      </c>
      <c r="AA50" s="14">
        <f t="shared" si="6"/>
        <v>56.019999999999996</v>
      </c>
      <c r="AB50" s="14">
        <v>200</v>
      </c>
      <c r="AC50" s="14">
        <v>180</v>
      </c>
      <c r="AD50" s="14">
        <v>180</v>
      </c>
      <c r="AE50" s="14">
        <v>200</v>
      </c>
      <c r="AF50" s="14">
        <v>200</v>
      </c>
      <c r="AG50" s="89">
        <v>2240</v>
      </c>
      <c r="AH50" s="14"/>
      <c r="AI50" s="33"/>
      <c r="AJ50" s="117"/>
      <c r="AK50" s="117"/>
      <c r="AL50" s="117"/>
      <c r="AM50" s="117"/>
      <c r="AN50" s="117"/>
      <c r="AO50" s="117"/>
      <c r="AP50" s="117"/>
      <c r="AQ50" s="117"/>
      <c r="AR50" s="117"/>
      <c r="AS50" s="117"/>
      <c r="AT50" s="117"/>
      <c r="AU50" s="117"/>
      <c r="AV50" s="14"/>
      <c r="AW50" s="118"/>
      <c r="AX50" s="119"/>
      <c r="AY50" s="122"/>
      <c r="AZ50" s="123"/>
    </row>
    <row r="51" spans="1:52" ht="17.5" hidden="1" customHeight="1">
      <c r="A51" s="22"/>
      <c r="B51" s="34">
        <v>78599</v>
      </c>
      <c r="C51" s="14" t="s">
        <v>57</v>
      </c>
      <c r="D51" s="20" t="s">
        <v>102</v>
      </c>
      <c r="E51" s="20" t="s">
        <v>102</v>
      </c>
      <c r="F51" s="20"/>
      <c r="G51" s="14">
        <v>0</v>
      </c>
      <c r="H51" s="14"/>
      <c r="I51" s="14">
        <f t="shared" si="0"/>
        <v>0</v>
      </c>
      <c r="J51" s="14">
        <v>0</v>
      </c>
      <c r="K51" s="14"/>
      <c r="L51" s="14">
        <f t="shared" si="1"/>
        <v>0</v>
      </c>
      <c r="M51" s="14">
        <v>0</v>
      </c>
      <c r="N51" s="14"/>
      <c r="O51" s="14">
        <f t="shared" si="2"/>
        <v>0</v>
      </c>
      <c r="P51" s="14">
        <v>0</v>
      </c>
      <c r="Q51" s="14"/>
      <c r="R51" s="14">
        <f t="shared" si="3"/>
        <v>0</v>
      </c>
      <c r="S51" s="14">
        <v>0</v>
      </c>
      <c r="T51" s="14"/>
      <c r="U51" s="14">
        <f t="shared" si="4"/>
        <v>0</v>
      </c>
      <c r="V51" s="14">
        <v>0</v>
      </c>
      <c r="W51" s="14"/>
      <c r="X51" s="14">
        <f t="shared" si="5"/>
        <v>0</v>
      </c>
      <c r="Y51" s="14">
        <v>0</v>
      </c>
      <c r="Z51" s="14"/>
      <c r="AA51" s="14">
        <f t="shared" si="6"/>
        <v>0</v>
      </c>
      <c r="AB51" s="14">
        <v>0</v>
      </c>
      <c r="AC51" s="14">
        <v>0</v>
      </c>
      <c r="AD51" s="14">
        <v>0</v>
      </c>
      <c r="AE51" s="14">
        <v>0</v>
      </c>
      <c r="AF51" s="14">
        <v>0</v>
      </c>
      <c r="AG51" s="89">
        <v>0</v>
      </c>
      <c r="AH51" s="14"/>
      <c r="AI51" s="33"/>
      <c r="AJ51" s="117"/>
      <c r="AK51" s="117"/>
      <c r="AL51" s="117"/>
      <c r="AM51" s="117"/>
      <c r="AN51" s="117"/>
      <c r="AO51" s="117"/>
      <c r="AP51" s="117"/>
      <c r="AQ51" s="117"/>
      <c r="AR51" s="117"/>
      <c r="AS51" s="117"/>
      <c r="AT51" s="117"/>
      <c r="AU51" s="117"/>
      <c r="AV51" s="14"/>
      <c r="AW51" s="118"/>
      <c r="AX51" s="119"/>
      <c r="AY51" s="122"/>
      <c r="AZ51" s="123"/>
    </row>
    <row r="52" spans="1:52" ht="17.5" hidden="1" customHeight="1">
      <c r="A52" s="22"/>
      <c r="B52" s="34"/>
      <c r="C52" s="14" t="s">
        <v>58</v>
      </c>
      <c r="D52" s="20" t="s">
        <v>102</v>
      </c>
      <c r="E52" s="20" t="s">
        <v>102</v>
      </c>
      <c r="F52" s="20"/>
      <c r="G52" s="14">
        <v>0</v>
      </c>
      <c r="H52" s="14"/>
      <c r="I52" s="14">
        <f t="shared" si="0"/>
        <v>0</v>
      </c>
      <c r="J52" s="14">
        <v>0</v>
      </c>
      <c r="K52" s="14"/>
      <c r="L52" s="14">
        <f t="shared" si="1"/>
        <v>0</v>
      </c>
      <c r="M52" s="14">
        <v>0</v>
      </c>
      <c r="N52" s="14"/>
      <c r="O52" s="14">
        <f t="shared" si="2"/>
        <v>0</v>
      </c>
      <c r="P52" s="14">
        <v>0</v>
      </c>
      <c r="Q52" s="14"/>
      <c r="R52" s="14">
        <f t="shared" si="3"/>
        <v>0</v>
      </c>
      <c r="S52" s="14">
        <v>0</v>
      </c>
      <c r="T52" s="14"/>
      <c r="U52" s="14">
        <f t="shared" si="4"/>
        <v>0</v>
      </c>
      <c r="V52" s="14">
        <v>0</v>
      </c>
      <c r="W52" s="14"/>
      <c r="X52" s="14">
        <f t="shared" si="5"/>
        <v>0</v>
      </c>
      <c r="Y52" s="14">
        <v>0</v>
      </c>
      <c r="Z52" s="14"/>
      <c r="AA52" s="14">
        <f t="shared" si="6"/>
        <v>0</v>
      </c>
      <c r="AB52" s="14">
        <v>0</v>
      </c>
      <c r="AC52" s="14">
        <v>0</v>
      </c>
      <c r="AD52" s="14">
        <v>0</v>
      </c>
      <c r="AE52" s="14">
        <v>0</v>
      </c>
      <c r="AF52" s="14">
        <v>0</v>
      </c>
      <c r="AG52" s="89">
        <v>0</v>
      </c>
      <c r="AH52" s="14"/>
      <c r="AI52" s="33"/>
      <c r="AJ52" s="117"/>
      <c r="AK52" s="117"/>
      <c r="AL52" s="117"/>
      <c r="AM52" s="117"/>
      <c r="AN52" s="117"/>
      <c r="AO52" s="117"/>
      <c r="AP52" s="117"/>
      <c r="AQ52" s="117"/>
      <c r="AR52" s="117"/>
      <c r="AS52" s="117"/>
      <c r="AT52" s="117"/>
      <c r="AU52" s="117"/>
      <c r="AV52" s="14"/>
      <c r="AW52" s="118"/>
      <c r="AX52" s="119"/>
      <c r="AY52" s="122"/>
      <c r="AZ52" s="123"/>
    </row>
    <row r="53" spans="1:52" ht="17.5" hidden="1" customHeight="1">
      <c r="A53" s="22"/>
      <c r="B53" s="34">
        <v>78611</v>
      </c>
      <c r="C53" s="14" t="s">
        <v>59</v>
      </c>
      <c r="D53" s="20" t="s">
        <v>102</v>
      </c>
      <c r="E53" s="20" t="s">
        <v>102</v>
      </c>
      <c r="F53" s="20"/>
      <c r="G53" s="14">
        <v>0</v>
      </c>
      <c r="H53" s="14"/>
      <c r="I53" s="14">
        <f t="shared" si="0"/>
        <v>0</v>
      </c>
      <c r="J53" s="14">
        <v>0</v>
      </c>
      <c r="K53" s="14"/>
      <c r="L53" s="14">
        <f t="shared" si="1"/>
        <v>0</v>
      </c>
      <c r="M53" s="14">
        <v>0</v>
      </c>
      <c r="N53" s="14"/>
      <c r="O53" s="14">
        <f t="shared" si="2"/>
        <v>0</v>
      </c>
      <c r="P53" s="14">
        <v>0</v>
      </c>
      <c r="Q53" s="14"/>
      <c r="R53" s="14">
        <f t="shared" si="3"/>
        <v>0</v>
      </c>
      <c r="S53" s="14">
        <v>0</v>
      </c>
      <c r="T53" s="14"/>
      <c r="U53" s="14">
        <f t="shared" si="4"/>
        <v>0</v>
      </c>
      <c r="V53" s="14">
        <v>0</v>
      </c>
      <c r="W53" s="14"/>
      <c r="X53" s="14">
        <f t="shared" si="5"/>
        <v>0</v>
      </c>
      <c r="Y53" s="14">
        <v>0</v>
      </c>
      <c r="Z53" s="14"/>
      <c r="AA53" s="14">
        <f t="shared" si="6"/>
        <v>0</v>
      </c>
      <c r="AB53" s="14">
        <v>0</v>
      </c>
      <c r="AC53" s="14">
        <v>0</v>
      </c>
      <c r="AD53" s="14">
        <v>0</v>
      </c>
      <c r="AE53" s="14">
        <v>0</v>
      </c>
      <c r="AF53" s="14">
        <v>0</v>
      </c>
      <c r="AG53" s="89">
        <v>0</v>
      </c>
      <c r="AH53" s="14"/>
      <c r="AI53" s="33"/>
      <c r="AJ53" s="117"/>
      <c r="AK53" s="117"/>
      <c r="AL53" s="117"/>
      <c r="AM53" s="117"/>
      <c r="AN53" s="117"/>
      <c r="AO53" s="117"/>
      <c r="AP53" s="117"/>
      <c r="AQ53" s="117"/>
      <c r="AR53" s="117"/>
      <c r="AS53" s="117"/>
      <c r="AT53" s="117"/>
      <c r="AU53" s="117"/>
      <c r="AV53" s="14"/>
      <c r="AW53" s="118"/>
      <c r="AX53" s="119"/>
      <c r="AY53" s="122"/>
      <c r="AZ53" s="123"/>
    </row>
    <row r="54" spans="1:52" ht="17.5" hidden="1" customHeight="1">
      <c r="A54" s="22"/>
      <c r="B54" s="34">
        <v>78612</v>
      </c>
      <c r="C54" s="14" t="s">
        <v>60</v>
      </c>
      <c r="D54" s="20" t="s">
        <v>102</v>
      </c>
      <c r="E54" s="20" t="s">
        <v>102</v>
      </c>
      <c r="F54" s="20"/>
      <c r="G54" s="14">
        <v>0</v>
      </c>
      <c r="H54" s="14"/>
      <c r="I54" s="14">
        <f t="shared" si="0"/>
        <v>0</v>
      </c>
      <c r="J54" s="14">
        <v>0</v>
      </c>
      <c r="K54" s="14"/>
      <c r="L54" s="14">
        <f t="shared" si="1"/>
        <v>0</v>
      </c>
      <c r="M54" s="14">
        <v>0</v>
      </c>
      <c r="N54" s="14"/>
      <c r="O54" s="14">
        <f t="shared" si="2"/>
        <v>0</v>
      </c>
      <c r="P54" s="14">
        <v>0</v>
      </c>
      <c r="Q54" s="14"/>
      <c r="R54" s="14">
        <f t="shared" si="3"/>
        <v>0</v>
      </c>
      <c r="S54" s="14">
        <v>0</v>
      </c>
      <c r="T54" s="14"/>
      <c r="U54" s="14">
        <f t="shared" si="4"/>
        <v>0</v>
      </c>
      <c r="V54" s="14">
        <v>0</v>
      </c>
      <c r="W54" s="14"/>
      <c r="X54" s="14">
        <f t="shared" si="5"/>
        <v>0</v>
      </c>
      <c r="Y54" s="14">
        <v>0</v>
      </c>
      <c r="Z54" s="14"/>
      <c r="AA54" s="14">
        <f t="shared" si="6"/>
        <v>0</v>
      </c>
      <c r="AB54" s="14">
        <v>0</v>
      </c>
      <c r="AC54" s="14">
        <v>0</v>
      </c>
      <c r="AD54" s="14">
        <v>0</v>
      </c>
      <c r="AE54" s="14">
        <v>0</v>
      </c>
      <c r="AF54" s="14">
        <v>0</v>
      </c>
      <c r="AG54" s="89">
        <v>0</v>
      </c>
      <c r="AH54" s="14"/>
      <c r="AI54" s="33"/>
      <c r="AJ54" s="117"/>
      <c r="AK54" s="117"/>
      <c r="AL54" s="117"/>
      <c r="AM54" s="117"/>
      <c r="AN54" s="117"/>
      <c r="AO54" s="117"/>
      <c r="AP54" s="117"/>
      <c r="AQ54" s="117"/>
      <c r="AR54" s="117"/>
      <c r="AS54" s="117"/>
      <c r="AT54" s="117"/>
      <c r="AU54" s="117"/>
      <c r="AV54" s="14"/>
      <c r="AW54" s="118"/>
      <c r="AX54" s="119"/>
      <c r="AY54" s="122"/>
      <c r="AZ54" s="123"/>
    </row>
    <row r="55" spans="1:52" ht="17.5" hidden="1" customHeight="1">
      <c r="A55" s="22"/>
      <c r="B55" s="34">
        <v>78613</v>
      </c>
      <c r="C55" s="14" t="s">
        <v>61</v>
      </c>
      <c r="D55" s="20" t="s">
        <v>102</v>
      </c>
      <c r="E55" s="20" t="s">
        <v>102</v>
      </c>
      <c r="F55" s="20"/>
      <c r="G55" s="14">
        <v>0</v>
      </c>
      <c r="H55" s="14"/>
      <c r="I55" s="14">
        <f t="shared" si="0"/>
        <v>0</v>
      </c>
      <c r="J55" s="14">
        <v>0</v>
      </c>
      <c r="K55" s="14"/>
      <c r="L55" s="14">
        <f t="shared" si="1"/>
        <v>0</v>
      </c>
      <c r="M55" s="14">
        <v>0</v>
      </c>
      <c r="N55" s="14"/>
      <c r="O55" s="14">
        <f t="shared" si="2"/>
        <v>0</v>
      </c>
      <c r="P55" s="14">
        <v>0</v>
      </c>
      <c r="Q55" s="14"/>
      <c r="R55" s="14">
        <f t="shared" si="3"/>
        <v>0</v>
      </c>
      <c r="S55" s="14">
        <v>0</v>
      </c>
      <c r="T55" s="14"/>
      <c r="U55" s="14">
        <f t="shared" si="4"/>
        <v>0</v>
      </c>
      <c r="V55" s="14">
        <v>0</v>
      </c>
      <c r="W55" s="14"/>
      <c r="X55" s="14">
        <f t="shared" si="5"/>
        <v>0</v>
      </c>
      <c r="Y55" s="14">
        <v>0</v>
      </c>
      <c r="Z55" s="14"/>
      <c r="AA55" s="14">
        <f t="shared" si="6"/>
        <v>0</v>
      </c>
      <c r="AB55" s="14">
        <v>0</v>
      </c>
      <c r="AC55" s="14">
        <v>0</v>
      </c>
      <c r="AD55" s="14">
        <v>0</v>
      </c>
      <c r="AE55" s="14">
        <v>0</v>
      </c>
      <c r="AF55" s="14">
        <v>0</v>
      </c>
      <c r="AG55" s="89">
        <v>0</v>
      </c>
      <c r="AH55" s="14"/>
      <c r="AI55" s="33"/>
      <c r="AJ55" s="117"/>
      <c r="AK55" s="117"/>
      <c r="AL55" s="117"/>
      <c r="AM55" s="117"/>
      <c r="AN55" s="117"/>
      <c r="AO55" s="117"/>
      <c r="AP55" s="117"/>
      <c r="AQ55" s="117"/>
      <c r="AR55" s="117"/>
      <c r="AS55" s="117"/>
      <c r="AT55" s="117"/>
      <c r="AU55" s="117"/>
      <c r="AV55" s="14"/>
      <c r="AW55" s="118"/>
      <c r="AX55" s="119"/>
      <c r="AY55" s="122"/>
      <c r="AZ55" s="123"/>
    </row>
    <row r="56" spans="1:52" ht="17.5" hidden="1" customHeight="1">
      <c r="A56" s="22"/>
      <c r="B56" s="34">
        <v>78615</v>
      </c>
      <c r="C56" s="14" t="s">
        <v>62</v>
      </c>
      <c r="D56" s="20" t="s">
        <v>102</v>
      </c>
      <c r="E56" s="20" t="s">
        <v>102</v>
      </c>
      <c r="F56" s="20"/>
      <c r="G56" s="14">
        <v>0</v>
      </c>
      <c r="H56" s="14"/>
      <c r="I56" s="14">
        <f t="shared" si="0"/>
        <v>0</v>
      </c>
      <c r="J56" s="14">
        <v>0</v>
      </c>
      <c r="K56" s="14"/>
      <c r="L56" s="14">
        <f t="shared" si="1"/>
        <v>0</v>
      </c>
      <c r="M56" s="14">
        <v>0</v>
      </c>
      <c r="N56" s="14"/>
      <c r="O56" s="14">
        <f t="shared" si="2"/>
        <v>0</v>
      </c>
      <c r="P56" s="14">
        <v>0</v>
      </c>
      <c r="Q56" s="14"/>
      <c r="R56" s="14">
        <f t="shared" si="3"/>
        <v>0</v>
      </c>
      <c r="S56" s="14">
        <v>0</v>
      </c>
      <c r="T56" s="14"/>
      <c r="U56" s="14">
        <f t="shared" si="4"/>
        <v>0</v>
      </c>
      <c r="V56" s="14">
        <v>0</v>
      </c>
      <c r="W56" s="14"/>
      <c r="X56" s="14">
        <f t="shared" si="5"/>
        <v>0</v>
      </c>
      <c r="Y56" s="14">
        <v>0</v>
      </c>
      <c r="Z56" s="14"/>
      <c r="AA56" s="14">
        <f t="shared" si="6"/>
        <v>0</v>
      </c>
      <c r="AB56" s="14">
        <v>0</v>
      </c>
      <c r="AC56" s="14">
        <v>0</v>
      </c>
      <c r="AD56" s="14">
        <v>0</v>
      </c>
      <c r="AE56" s="14">
        <v>0</v>
      </c>
      <c r="AF56" s="14">
        <v>0</v>
      </c>
      <c r="AG56" s="89">
        <v>0</v>
      </c>
      <c r="AH56" s="14"/>
      <c r="AI56" s="33"/>
      <c r="AJ56" s="117"/>
      <c r="AK56" s="117"/>
      <c r="AL56" s="117"/>
      <c r="AM56" s="117"/>
      <c r="AN56" s="117"/>
      <c r="AO56" s="117"/>
      <c r="AP56" s="117"/>
      <c r="AQ56" s="117"/>
      <c r="AR56" s="117"/>
      <c r="AS56" s="117"/>
      <c r="AT56" s="117"/>
      <c r="AU56" s="117"/>
      <c r="AV56" s="14"/>
      <c r="AW56" s="118"/>
      <c r="AX56" s="119"/>
      <c r="AY56" s="122"/>
      <c r="AZ56" s="123"/>
    </row>
    <row r="57" spans="1:52" ht="17.5" hidden="1" customHeight="1">
      <c r="A57" s="22"/>
      <c r="B57" s="34">
        <v>78616</v>
      </c>
      <c r="C57" s="14" t="s">
        <v>63</v>
      </c>
      <c r="D57" s="20" t="s">
        <v>102</v>
      </c>
      <c r="E57" s="20" t="s">
        <v>102</v>
      </c>
      <c r="F57" s="20"/>
      <c r="G57" s="14">
        <v>0</v>
      </c>
      <c r="H57" s="14"/>
      <c r="I57" s="14">
        <f t="shared" si="0"/>
        <v>0</v>
      </c>
      <c r="J57" s="14">
        <v>0</v>
      </c>
      <c r="K57" s="14"/>
      <c r="L57" s="14">
        <f t="shared" si="1"/>
        <v>0</v>
      </c>
      <c r="M57" s="14">
        <v>0</v>
      </c>
      <c r="N57" s="14"/>
      <c r="O57" s="14">
        <f t="shared" si="2"/>
        <v>0</v>
      </c>
      <c r="P57" s="14">
        <v>0</v>
      </c>
      <c r="Q57" s="14"/>
      <c r="R57" s="14">
        <f t="shared" si="3"/>
        <v>0</v>
      </c>
      <c r="S57" s="14">
        <v>0</v>
      </c>
      <c r="T57" s="14"/>
      <c r="U57" s="14">
        <f t="shared" si="4"/>
        <v>0</v>
      </c>
      <c r="V57" s="14">
        <v>0</v>
      </c>
      <c r="W57" s="14"/>
      <c r="X57" s="14">
        <f t="shared" si="5"/>
        <v>0</v>
      </c>
      <c r="Y57" s="14">
        <v>0</v>
      </c>
      <c r="Z57" s="14"/>
      <c r="AA57" s="14">
        <f t="shared" si="6"/>
        <v>0</v>
      </c>
      <c r="AB57" s="14">
        <v>0</v>
      </c>
      <c r="AC57" s="14">
        <v>0</v>
      </c>
      <c r="AD57" s="14">
        <v>0</v>
      </c>
      <c r="AE57" s="14">
        <v>0</v>
      </c>
      <c r="AF57" s="14">
        <v>0</v>
      </c>
      <c r="AG57" s="89">
        <v>0</v>
      </c>
      <c r="AH57" s="14"/>
      <c r="AI57" s="33"/>
      <c r="AJ57" s="117"/>
      <c r="AK57" s="117"/>
      <c r="AL57" s="117"/>
      <c r="AM57" s="117"/>
      <c r="AN57" s="117"/>
      <c r="AO57" s="117"/>
      <c r="AP57" s="117"/>
      <c r="AQ57" s="117"/>
      <c r="AR57" s="117"/>
      <c r="AS57" s="117"/>
      <c r="AT57" s="117"/>
      <c r="AU57" s="117"/>
      <c r="AV57" s="14"/>
      <c r="AW57" s="118"/>
      <c r="AX57" s="119"/>
      <c r="AY57" s="122"/>
      <c r="AZ57" s="123"/>
    </row>
    <row r="58" spans="1:52" ht="17.5" hidden="1" customHeight="1">
      <c r="A58" s="22"/>
      <c r="B58" s="34">
        <v>78617</v>
      </c>
      <c r="C58" s="14" t="s">
        <v>64</v>
      </c>
      <c r="D58" s="20" t="s">
        <v>102</v>
      </c>
      <c r="E58" s="20" t="s">
        <v>102</v>
      </c>
      <c r="F58" s="20"/>
      <c r="G58" s="14">
        <v>0</v>
      </c>
      <c r="H58" s="14"/>
      <c r="I58" s="14">
        <f t="shared" si="0"/>
        <v>0</v>
      </c>
      <c r="J58" s="14">
        <v>0</v>
      </c>
      <c r="K58" s="14"/>
      <c r="L58" s="14">
        <f t="shared" si="1"/>
        <v>0</v>
      </c>
      <c r="M58" s="14">
        <v>0</v>
      </c>
      <c r="N58" s="14"/>
      <c r="O58" s="14">
        <f t="shared" si="2"/>
        <v>0</v>
      </c>
      <c r="P58" s="14">
        <v>0</v>
      </c>
      <c r="Q58" s="14"/>
      <c r="R58" s="14">
        <f t="shared" si="3"/>
        <v>0</v>
      </c>
      <c r="S58" s="14">
        <v>0</v>
      </c>
      <c r="T58" s="14"/>
      <c r="U58" s="14">
        <f t="shared" si="4"/>
        <v>0</v>
      </c>
      <c r="V58" s="14">
        <v>0</v>
      </c>
      <c r="W58" s="14"/>
      <c r="X58" s="14">
        <f t="shared" si="5"/>
        <v>0</v>
      </c>
      <c r="Y58" s="14">
        <v>0</v>
      </c>
      <c r="Z58" s="14"/>
      <c r="AA58" s="14">
        <f t="shared" si="6"/>
        <v>0</v>
      </c>
      <c r="AB58" s="14">
        <v>0</v>
      </c>
      <c r="AC58" s="14">
        <v>0</v>
      </c>
      <c r="AD58" s="14">
        <v>0</v>
      </c>
      <c r="AE58" s="14">
        <v>0</v>
      </c>
      <c r="AF58" s="14">
        <v>0</v>
      </c>
      <c r="AG58" s="89">
        <v>0</v>
      </c>
      <c r="AH58" s="14"/>
      <c r="AI58" s="33"/>
      <c r="AJ58" s="117"/>
      <c r="AK58" s="117"/>
      <c r="AL58" s="117"/>
      <c r="AM58" s="117"/>
      <c r="AN58" s="117"/>
      <c r="AO58" s="117"/>
      <c r="AP58" s="117"/>
      <c r="AQ58" s="117"/>
      <c r="AR58" s="117"/>
      <c r="AS58" s="117"/>
      <c r="AT58" s="117"/>
      <c r="AU58" s="117"/>
      <c r="AV58" s="14"/>
      <c r="AW58" s="118"/>
      <c r="AX58" s="119"/>
      <c r="AY58" s="122"/>
      <c r="AZ58" s="123"/>
    </row>
    <row r="59" spans="1:52" ht="17.5" customHeight="1">
      <c r="A59" s="22"/>
      <c r="B59" s="34">
        <v>78620</v>
      </c>
      <c r="C59" s="14" t="s">
        <v>65</v>
      </c>
      <c r="D59" s="20" t="s">
        <v>102</v>
      </c>
      <c r="E59" s="20" t="s">
        <v>102</v>
      </c>
      <c r="F59" s="20"/>
      <c r="G59" s="14">
        <v>722.25</v>
      </c>
      <c r="H59" s="14">
        <v>115.6</v>
      </c>
      <c r="I59" s="14">
        <f t="shared" si="0"/>
        <v>606.65</v>
      </c>
      <c r="J59" s="14">
        <v>902.25</v>
      </c>
      <c r="K59" s="14">
        <v>127.5</v>
      </c>
      <c r="L59" s="14">
        <f t="shared" si="1"/>
        <v>774.75</v>
      </c>
      <c r="M59" s="14">
        <v>722.25</v>
      </c>
      <c r="N59" s="14">
        <v>35.5</v>
      </c>
      <c r="O59" s="14">
        <f t="shared" si="2"/>
        <v>686.75</v>
      </c>
      <c r="P59" s="14">
        <v>902.25</v>
      </c>
      <c r="Q59" s="14">
        <v>526.65700000000004</v>
      </c>
      <c r="R59" s="14">
        <f t="shared" si="3"/>
        <v>375.59299999999996</v>
      </c>
      <c r="S59" s="14">
        <v>722.25</v>
      </c>
      <c r="T59" s="14">
        <v>174.3</v>
      </c>
      <c r="U59" s="14">
        <f t="shared" si="4"/>
        <v>547.95000000000005</v>
      </c>
      <c r="V59" s="14">
        <v>902.25</v>
      </c>
      <c r="W59" s="14">
        <v>191.5</v>
      </c>
      <c r="X59" s="14">
        <f t="shared" si="5"/>
        <v>710.75</v>
      </c>
      <c r="Y59" s="14">
        <v>722.25</v>
      </c>
      <c r="Z59" s="14">
        <v>335.214</v>
      </c>
      <c r="AA59" s="14">
        <f t="shared" si="6"/>
        <v>387.036</v>
      </c>
      <c r="AB59" s="14">
        <v>902.25</v>
      </c>
      <c r="AC59" s="14">
        <v>722.25</v>
      </c>
      <c r="AD59" s="14">
        <v>902.25</v>
      </c>
      <c r="AE59" s="14">
        <v>722.25</v>
      </c>
      <c r="AF59" s="14">
        <v>722.25</v>
      </c>
      <c r="AG59" s="89">
        <v>9567</v>
      </c>
      <c r="AH59" s="14"/>
      <c r="AI59" s="33"/>
      <c r="AJ59" s="117"/>
      <c r="AK59" s="117"/>
      <c r="AL59" s="117"/>
      <c r="AM59" s="117"/>
      <c r="AN59" s="117"/>
      <c r="AO59" s="117"/>
      <c r="AP59" s="117"/>
      <c r="AQ59" s="117"/>
      <c r="AR59" s="117"/>
      <c r="AS59" s="117"/>
      <c r="AT59" s="117"/>
      <c r="AU59" s="117"/>
      <c r="AV59" s="14"/>
      <c r="AW59" s="118"/>
      <c r="AX59" s="119"/>
      <c r="AY59" s="122"/>
      <c r="AZ59" s="123"/>
    </row>
    <row r="60" spans="1:52" ht="17.5" customHeight="1">
      <c r="A60" s="22"/>
      <c r="B60" s="34">
        <v>78621</v>
      </c>
      <c r="C60" s="14" t="s">
        <v>66</v>
      </c>
      <c r="D60" s="20" t="s">
        <v>102</v>
      </c>
      <c r="E60" s="20" t="s">
        <v>102</v>
      </c>
      <c r="F60" s="20"/>
      <c r="G60" s="14">
        <v>678</v>
      </c>
      <c r="H60" s="14">
        <v>372.4</v>
      </c>
      <c r="I60" s="14">
        <f t="shared" si="0"/>
        <v>305.60000000000002</v>
      </c>
      <c r="J60" s="14">
        <v>668</v>
      </c>
      <c r="K60" s="14">
        <v>657.6</v>
      </c>
      <c r="L60" s="14">
        <f t="shared" si="1"/>
        <v>10.399999999999977</v>
      </c>
      <c r="M60" s="14">
        <v>653</v>
      </c>
      <c r="N60" s="14">
        <v>189.1</v>
      </c>
      <c r="O60" s="14">
        <f t="shared" si="2"/>
        <v>463.9</v>
      </c>
      <c r="P60" s="14">
        <v>678</v>
      </c>
      <c r="Q60" s="14">
        <v>549.79999999999995</v>
      </c>
      <c r="R60" s="14">
        <f t="shared" si="3"/>
        <v>128.20000000000005</v>
      </c>
      <c r="S60" s="14">
        <v>668</v>
      </c>
      <c r="T60" s="14">
        <v>534.58000000000004</v>
      </c>
      <c r="U60" s="14">
        <f t="shared" si="4"/>
        <v>133.41999999999996</v>
      </c>
      <c r="V60" s="14">
        <v>653</v>
      </c>
      <c r="W60" s="14">
        <v>649.36</v>
      </c>
      <c r="X60" s="14">
        <f t="shared" si="5"/>
        <v>3.6399999999999864</v>
      </c>
      <c r="Y60" s="14">
        <v>679</v>
      </c>
      <c r="Z60" s="14">
        <v>900.84799999999996</v>
      </c>
      <c r="AA60" s="14">
        <f t="shared" si="6"/>
        <v>-221.84799999999996</v>
      </c>
      <c r="AB60" s="14">
        <v>668</v>
      </c>
      <c r="AC60" s="14">
        <v>653</v>
      </c>
      <c r="AD60" s="14">
        <v>678</v>
      </c>
      <c r="AE60" s="14">
        <v>668</v>
      </c>
      <c r="AF60" s="14">
        <v>653</v>
      </c>
      <c r="AG60" s="89">
        <v>7997</v>
      </c>
      <c r="AH60" s="14"/>
      <c r="AI60" s="33"/>
      <c r="AJ60" s="117"/>
      <c r="AK60" s="117"/>
      <c r="AL60" s="117"/>
      <c r="AM60" s="117"/>
      <c r="AN60" s="117"/>
      <c r="AO60" s="117"/>
      <c r="AP60" s="117"/>
      <c r="AQ60" s="117"/>
      <c r="AR60" s="117"/>
      <c r="AS60" s="117"/>
      <c r="AT60" s="117"/>
      <c r="AU60" s="117"/>
      <c r="AV60" s="14"/>
      <c r="AW60" s="118"/>
      <c r="AX60" s="119"/>
      <c r="AY60" s="122"/>
      <c r="AZ60" s="123"/>
    </row>
    <row r="61" spans="1:52" ht="17.5" customHeight="1">
      <c r="A61" s="22"/>
      <c r="B61" s="34">
        <v>78622</v>
      </c>
      <c r="C61" s="14" t="s">
        <v>67</v>
      </c>
      <c r="D61" s="20" t="s">
        <v>102</v>
      </c>
      <c r="E61" s="20" t="s">
        <v>102</v>
      </c>
      <c r="F61" s="20"/>
      <c r="G61" s="14">
        <v>1724</v>
      </c>
      <c r="H61" s="14">
        <v>872.15499999999997</v>
      </c>
      <c r="I61" s="14">
        <f t="shared" si="0"/>
        <v>851.84500000000003</v>
      </c>
      <c r="J61" s="14">
        <v>2225</v>
      </c>
      <c r="K61" s="14">
        <v>1211.098</v>
      </c>
      <c r="L61" s="14">
        <f t="shared" si="1"/>
        <v>1013.902</v>
      </c>
      <c r="M61" s="14">
        <v>1725</v>
      </c>
      <c r="N61" s="14">
        <v>634.11900000000003</v>
      </c>
      <c r="O61" s="14">
        <f t="shared" si="2"/>
        <v>1090.8809999999999</v>
      </c>
      <c r="P61" s="14">
        <v>2225</v>
      </c>
      <c r="Q61" s="14">
        <v>1525.9659999999999</v>
      </c>
      <c r="R61" s="14">
        <f t="shared" si="3"/>
        <v>699.03400000000011</v>
      </c>
      <c r="S61" s="14">
        <v>1725</v>
      </c>
      <c r="T61" s="14">
        <v>997.81500000000005</v>
      </c>
      <c r="U61" s="14">
        <f t="shared" si="4"/>
        <v>727.18499999999995</v>
      </c>
      <c r="V61" s="14">
        <v>2225</v>
      </c>
      <c r="W61" s="14">
        <v>1236.865</v>
      </c>
      <c r="X61" s="14">
        <f t="shared" si="5"/>
        <v>988.13499999999999</v>
      </c>
      <c r="Y61" s="14">
        <v>1724</v>
      </c>
      <c r="Z61" s="14">
        <v>590.67200000000003</v>
      </c>
      <c r="AA61" s="14">
        <f t="shared" si="6"/>
        <v>1133.328</v>
      </c>
      <c r="AB61" s="14">
        <v>2225</v>
      </c>
      <c r="AC61" s="14">
        <v>1725</v>
      </c>
      <c r="AD61" s="14">
        <v>2225</v>
      </c>
      <c r="AE61" s="14">
        <v>1725</v>
      </c>
      <c r="AF61" s="14">
        <v>1725</v>
      </c>
      <c r="AG61" s="89">
        <v>23198</v>
      </c>
      <c r="AH61" s="14"/>
      <c r="AI61" s="33"/>
      <c r="AJ61" s="117"/>
      <c r="AK61" s="117"/>
      <c r="AL61" s="117"/>
      <c r="AM61" s="117"/>
      <c r="AN61" s="117"/>
      <c r="AO61" s="117"/>
      <c r="AP61" s="117"/>
      <c r="AQ61" s="117"/>
      <c r="AR61" s="117"/>
      <c r="AS61" s="117"/>
      <c r="AT61" s="117"/>
      <c r="AU61" s="117"/>
      <c r="AV61" s="14"/>
      <c r="AW61" s="118"/>
      <c r="AX61" s="119"/>
      <c r="AY61" s="122"/>
      <c r="AZ61" s="123"/>
    </row>
    <row r="62" spans="1:52" ht="17.5" customHeight="1">
      <c r="A62" s="22"/>
      <c r="B62" s="34">
        <v>78623</v>
      </c>
      <c r="C62" s="14" t="s">
        <v>68</v>
      </c>
      <c r="D62" s="20" t="s">
        <v>102</v>
      </c>
      <c r="E62" s="20" t="s">
        <v>102</v>
      </c>
      <c r="F62" s="20"/>
      <c r="G62" s="14">
        <v>962</v>
      </c>
      <c r="H62" s="14">
        <v>497.9</v>
      </c>
      <c r="I62" s="14">
        <f t="shared" si="0"/>
        <v>464.1</v>
      </c>
      <c r="J62" s="14">
        <v>1362</v>
      </c>
      <c r="K62" s="14">
        <v>431</v>
      </c>
      <c r="L62" s="14">
        <f t="shared" si="1"/>
        <v>931</v>
      </c>
      <c r="M62" s="14">
        <v>962</v>
      </c>
      <c r="N62" s="14">
        <v>370</v>
      </c>
      <c r="O62" s="14">
        <f t="shared" si="2"/>
        <v>592</v>
      </c>
      <c r="P62" s="14">
        <v>1362</v>
      </c>
      <c r="Q62" s="14">
        <v>1580</v>
      </c>
      <c r="R62" s="14">
        <f t="shared" si="3"/>
        <v>-218</v>
      </c>
      <c r="S62" s="14">
        <v>962</v>
      </c>
      <c r="T62" s="14">
        <v>215</v>
      </c>
      <c r="U62" s="14">
        <f t="shared" si="4"/>
        <v>747</v>
      </c>
      <c r="V62" s="14">
        <v>1362</v>
      </c>
      <c r="W62" s="14">
        <v>270</v>
      </c>
      <c r="X62" s="14">
        <f t="shared" si="5"/>
        <v>1092</v>
      </c>
      <c r="Y62" s="14">
        <v>963</v>
      </c>
      <c r="Z62" s="14">
        <v>1231.663</v>
      </c>
      <c r="AA62" s="14">
        <f t="shared" si="6"/>
        <v>-268.66300000000001</v>
      </c>
      <c r="AB62" s="14">
        <v>1362</v>
      </c>
      <c r="AC62" s="14">
        <v>962</v>
      </c>
      <c r="AD62" s="14">
        <v>1362</v>
      </c>
      <c r="AE62" s="14">
        <v>962</v>
      </c>
      <c r="AF62" s="14">
        <v>962</v>
      </c>
      <c r="AG62" s="89">
        <v>13545</v>
      </c>
      <c r="AH62" s="14"/>
      <c r="AI62" s="33"/>
      <c r="AJ62" s="117"/>
      <c r="AK62" s="117"/>
      <c r="AL62" s="117"/>
      <c r="AM62" s="117"/>
      <c r="AN62" s="117"/>
      <c r="AO62" s="117"/>
      <c r="AP62" s="117"/>
      <c r="AQ62" s="117"/>
      <c r="AR62" s="117"/>
      <c r="AS62" s="117"/>
      <c r="AT62" s="117"/>
      <c r="AU62" s="117"/>
      <c r="AV62" s="14"/>
      <c r="AW62" s="118"/>
      <c r="AX62" s="119"/>
      <c r="AY62" s="122"/>
      <c r="AZ62" s="123"/>
    </row>
    <row r="63" spans="1:52" ht="17.5" customHeight="1">
      <c r="A63" s="22"/>
      <c r="B63" s="34">
        <v>78624</v>
      </c>
      <c r="C63" s="14" t="s">
        <v>69</v>
      </c>
      <c r="D63" s="20" t="s">
        <v>102</v>
      </c>
      <c r="E63" s="20" t="s">
        <v>102</v>
      </c>
      <c r="F63" s="20"/>
      <c r="G63" s="14">
        <v>350.41666666666669</v>
      </c>
      <c r="H63" s="14">
        <v>0</v>
      </c>
      <c r="I63" s="14">
        <f t="shared" si="0"/>
        <v>350.41666666666669</v>
      </c>
      <c r="J63" s="14">
        <v>350.41666666666669</v>
      </c>
      <c r="K63" s="14"/>
      <c r="L63" s="14">
        <f t="shared" si="1"/>
        <v>350.41666666666669</v>
      </c>
      <c r="M63" s="14">
        <v>350.41666666666669</v>
      </c>
      <c r="N63" s="14"/>
      <c r="O63" s="14">
        <f t="shared" si="2"/>
        <v>350.41666666666669</v>
      </c>
      <c r="P63" s="14">
        <v>5350.416666666667</v>
      </c>
      <c r="Q63" s="14">
        <v>865.7</v>
      </c>
      <c r="R63" s="14">
        <f t="shared" si="3"/>
        <v>4484.7166666666672</v>
      </c>
      <c r="S63" s="14">
        <v>350.41666666666669</v>
      </c>
      <c r="T63" s="14"/>
      <c r="U63" s="14">
        <f t="shared" si="4"/>
        <v>350.41666666666669</v>
      </c>
      <c r="V63" s="14">
        <v>5350.416666666667</v>
      </c>
      <c r="W63" s="14"/>
      <c r="X63" s="14">
        <f t="shared" si="5"/>
        <v>5350.416666666667</v>
      </c>
      <c r="Y63" s="14">
        <v>350.41666666666669</v>
      </c>
      <c r="Z63" s="14">
        <v>2775.6</v>
      </c>
      <c r="AA63" s="14">
        <f t="shared" si="6"/>
        <v>-2425.1833333333334</v>
      </c>
      <c r="AB63" s="14">
        <v>350.41666666666669</v>
      </c>
      <c r="AC63" s="14">
        <v>5350.416666666667</v>
      </c>
      <c r="AD63" s="14">
        <v>350.41666666666669</v>
      </c>
      <c r="AE63" s="14">
        <v>350.41666666666669</v>
      </c>
      <c r="AF63" s="14">
        <v>350.41666666666669</v>
      </c>
      <c r="AG63" s="89">
        <v>19205.000000000004</v>
      </c>
      <c r="AH63" s="14"/>
      <c r="AI63" s="33"/>
      <c r="AJ63" s="117"/>
      <c r="AK63" s="117"/>
      <c r="AL63" s="117"/>
      <c r="AM63" s="117"/>
      <c r="AN63" s="117"/>
      <c r="AO63" s="117"/>
      <c r="AP63" s="117"/>
      <c r="AQ63" s="117"/>
      <c r="AR63" s="117"/>
      <c r="AS63" s="117"/>
      <c r="AT63" s="117"/>
      <c r="AU63" s="117"/>
      <c r="AV63" s="14"/>
      <c r="AW63" s="118"/>
      <c r="AX63" s="119"/>
      <c r="AY63" s="122"/>
      <c r="AZ63" s="123"/>
    </row>
    <row r="64" spans="1:52" ht="17.5" customHeight="1">
      <c r="A64" s="22"/>
      <c r="B64" s="34">
        <v>78625</v>
      </c>
      <c r="C64" s="14" t="s">
        <v>70</v>
      </c>
      <c r="D64" s="20" t="s">
        <v>102</v>
      </c>
      <c r="E64" s="20" t="s">
        <v>102</v>
      </c>
      <c r="F64" s="20"/>
      <c r="G64" s="14">
        <v>630</v>
      </c>
      <c r="H64" s="14">
        <v>192</v>
      </c>
      <c r="I64" s="14">
        <f t="shared" si="0"/>
        <v>438</v>
      </c>
      <c r="J64" s="14">
        <v>600</v>
      </c>
      <c r="K64" s="14">
        <v>400.4</v>
      </c>
      <c r="L64" s="14">
        <f t="shared" si="1"/>
        <v>199.60000000000002</v>
      </c>
      <c r="M64" s="14">
        <v>500</v>
      </c>
      <c r="N64" s="14">
        <v>309.60000000000002</v>
      </c>
      <c r="O64" s="14">
        <f t="shared" si="2"/>
        <v>190.39999999999998</v>
      </c>
      <c r="P64" s="14">
        <v>500</v>
      </c>
      <c r="Q64" s="14">
        <v>175</v>
      </c>
      <c r="R64" s="14">
        <f t="shared" si="3"/>
        <v>325</v>
      </c>
      <c r="S64" s="14">
        <v>600</v>
      </c>
      <c r="T64" s="14">
        <v>315.3</v>
      </c>
      <c r="U64" s="14">
        <f t="shared" si="4"/>
        <v>284.7</v>
      </c>
      <c r="V64" s="14">
        <v>630</v>
      </c>
      <c r="W64" s="14">
        <v>117</v>
      </c>
      <c r="X64" s="14">
        <f t="shared" si="5"/>
        <v>513</v>
      </c>
      <c r="Y64" s="14">
        <v>500</v>
      </c>
      <c r="Z64" s="14">
        <v>474.44499999999999</v>
      </c>
      <c r="AA64" s="14">
        <f t="shared" si="6"/>
        <v>25.555000000000007</v>
      </c>
      <c r="AB64" s="14">
        <v>600</v>
      </c>
      <c r="AC64" s="14">
        <v>500</v>
      </c>
      <c r="AD64" s="14">
        <v>500</v>
      </c>
      <c r="AE64" s="14">
        <v>600</v>
      </c>
      <c r="AF64" s="14">
        <v>522</v>
      </c>
      <c r="AG64" s="89">
        <v>6682</v>
      </c>
      <c r="AH64" s="14"/>
      <c r="AI64" s="33"/>
      <c r="AJ64" s="117"/>
      <c r="AK64" s="117"/>
      <c r="AL64" s="117"/>
      <c r="AM64" s="117"/>
      <c r="AN64" s="117"/>
      <c r="AO64" s="117"/>
      <c r="AP64" s="117"/>
      <c r="AQ64" s="117"/>
      <c r="AR64" s="117"/>
      <c r="AS64" s="117"/>
      <c r="AT64" s="117"/>
      <c r="AU64" s="117"/>
      <c r="AV64" s="14"/>
      <c r="AW64" s="118"/>
      <c r="AX64" s="119"/>
      <c r="AY64" s="122"/>
      <c r="AZ64" s="123"/>
    </row>
    <row r="65" spans="1:52" ht="17.5" hidden="1" customHeight="1">
      <c r="A65" s="22"/>
      <c r="B65" s="34">
        <v>78626</v>
      </c>
      <c r="C65" s="14" t="s">
        <v>71</v>
      </c>
      <c r="D65" s="20" t="s">
        <v>102</v>
      </c>
      <c r="E65" s="20" t="s">
        <v>102</v>
      </c>
      <c r="F65" s="20"/>
      <c r="G65" s="14">
        <v>200</v>
      </c>
      <c r="H65" s="14"/>
      <c r="I65" s="14">
        <f t="shared" si="0"/>
        <v>200</v>
      </c>
      <c r="J65" s="14">
        <v>200</v>
      </c>
      <c r="K65" s="14"/>
      <c r="L65" s="14">
        <f t="shared" si="1"/>
        <v>200</v>
      </c>
      <c r="M65" s="14">
        <v>200</v>
      </c>
      <c r="N65" s="14"/>
      <c r="O65" s="14">
        <f t="shared" si="2"/>
        <v>200</v>
      </c>
      <c r="P65" s="14">
        <v>200</v>
      </c>
      <c r="Q65" s="14"/>
      <c r="R65" s="14">
        <f t="shared" si="3"/>
        <v>200</v>
      </c>
      <c r="S65" s="14">
        <v>200</v>
      </c>
      <c r="T65" s="14"/>
      <c r="U65" s="14">
        <f t="shared" si="4"/>
        <v>200</v>
      </c>
      <c r="V65" s="14">
        <v>200</v>
      </c>
      <c r="W65" s="14"/>
      <c r="X65" s="14">
        <f t="shared" si="5"/>
        <v>200</v>
      </c>
      <c r="Y65" s="14">
        <v>200</v>
      </c>
      <c r="Z65" s="14"/>
      <c r="AA65" s="14">
        <f t="shared" si="6"/>
        <v>200</v>
      </c>
      <c r="AB65" s="14">
        <v>200</v>
      </c>
      <c r="AC65" s="14">
        <v>200</v>
      </c>
      <c r="AD65" s="14">
        <v>200</v>
      </c>
      <c r="AE65" s="14">
        <v>200</v>
      </c>
      <c r="AF65" s="14">
        <v>200</v>
      </c>
      <c r="AG65" s="89">
        <v>2400</v>
      </c>
      <c r="AH65" s="14"/>
      <c r="AI65" s="33"/>
      <c r="AJ65" s="117"/>
      <c r="AK65" s="117"/>
      <c r="AL65" s="117"/>
      <c r="AM65" s="117"/>
      <c r="AN65" s="117"/>
      <c r="AO65" s="117"/>
      <c r="AP65" s="117"/>
      <c r="AQ65" s="117"/>
      <c r="AR65" s="117"/>
      <c r="AS65" s="117"/>
      <c r="AT65" s="117"/>
      <c r="AU65" s="117"/>
      <c r="AV65" s="14"/>
      <c r="AW65" s="118"/>
      <c r="AX65" s="119"/>
      <c r="AY65" s="122"/>
      <c r="AZ65" s="123"/>
    </row>
    <row r="66" spans="1:52" ht="17.5" hidden="1" customHeight="1">
      <c r="A66" s="22"/>
      <c r="B66" s="34">
        <v>78627</v>
      </c>
      <c r="C66" s="14" t="s">
        <v>72</v>
      </c>
      <c r="D66" s="20" t="s">
        <v>102</v>
      </c>
      <c r="E66" s="20" t="s">
        <v>102</v>
      </c>
      <c r="F66" s="20"/>
      <c r="G66" s="14">
        <v>0</v>
      </c>
      <c r="H66" s="14">
        <v>1806.44</v>
      </c>
      <c r="I66" s="14">
        <f t="shared" si="0"/>
        <v>-1806.44</v>
      </c>
      <c r="J66" s="14">
        <v>100</v>
      </c>
      <c r="K66" s="14"/>
      <c r="L66" s="14">
        <f t="shared" si="1"/>
        <v>100</v>
      </c>
      <c r="M66" s="14">
        <v>0</v>
      </c>
      <c r="N66" s="14"/>
      <c r="O66" s="14">
        <f t="shared" si="2"/>
        <v>0</v>
      </c>
      <c r="P66" s="14">
        <v>100</v>
      </c>
      <c r="Q66" s="14"/>
      <c r="R66" s="14">
        <f t="shared" si="3"/>
        <v>100</v>
      </c>
      <c r="S66" s="14">
        <v>0</v>
      </c>
      <c r="T66" s="14"/>
      <c r="U66" s="14">
        <f t="shared" si="4"/>
        <v>0</v>
      </c>
      <c r="V66" s="14">
        <v>100</v>
      </c>
      <c r="W66" s="14"/>
      <c r="X66" s="14">
        <f t="shared" si="5"/>
        <v>100</v>
      </c>
      <c r="Y66" s="14">
        <v>0</v>
      </c>
      <c r="Z66" s="14"/>
      <c r="AA66" s="14">
        <f t="shared" si="6"/>
        <v>0</v>
      </c>
      <c r="AB66" s="14">
        <v>100</v>
      </c>
      <c r="AC66" s="14">
        <v>0</v>
      </c>
      <c r="AD66" s="14">
        <v>100</v>
      </c>
      <c r="AE66" s="14">
        <v>0</v>
      </c>
      <c r="AF66" s="14">
        <v>100</v>
      </c>
      <c r="AG66" s="89">
        <v>600</v>
      </c>
      <c r="AH66" s="14"/>
      <c r="AI66" s="33"/>
      <c r="AJ66" s="117"/>
      <c r="AK66" s="117"/>
      <c r="AL66" s="117"/>
      <c r="AM66" s="117"/>
      <c r="AN66" s="117"/>
      <c r="AO66" s="117"/>
      <c r="AP66" s="117"/>
      <c r="AQ66" s="117"/>
      <c r="AR66" s="117"/>
      <c r="AS66" s="117"/>
      <c r="AT66" s="117"/>
      <c r="AU66" s="117"/>
      <c r="AV66" s="14"/>
      <c r="AW66" s="118"/>
      <c r="AX66" s="119"/>
      <c r="AY66" s="122"/>
      <c r="AZ66" s="123"/>
    </row>
    <row r="67" spans="1:52" ht="17.5" hidden="1" customHeight="1">
      <c r="A67" s="22"/>
      <c r="B67" s="34">
        <v>78628</v>
      </c>
      <c r="C67" s="14" t="s">
        <v>73</v>
      </c>
      <c r="D67" s="20" t="s">
        <v>102</v>
      </c>
      <c r="E67" s="20" t="s">
        <v>102</v>
      </c>
      <c r="F67" s="20"/>
      <c r="G67" s="14">
        <v>0</v>
      </c>
      <c r="H67" s="14"/>
      <c r="I67" s="14">
        <f t="shared" si="0"/>
        <v>0</v>
      </c>
      <c r="J67" s="14">
        <v>0</v>
      </c>
      <c r="K67" s="14"/>
      <c r="L67" s="14">
        <f t="shared" si="1"/>
        <v>0</v>
      </c>
      <c r="M67" s="14">
        <v>0</v>
      </c>
      <c r="N67" s="14"/>
      <c r="O67" s="14">
        <f t="shared" si="2"/>
        <v>0</v>
      </c>
      <c r="P67" s="14">
        <v>0</v>
      </c>
      <c r="Q67" s="14"/>
      <c r="R67" s="14">
        <f t="shared" si="3"/>
        <v>0</v>
      </c>
      <c r="S67" s="14">
        <v>0</v>
      </c>
      <c r="T67" s="14"/>
      <c r="U67" s="14">
        <f t="shared" si="4"/>
        <v>0</v>
      </c>
      <c r="V67" s="14">
        <v>0</v>
      </c>
      <c r="W67" s="14"/>
      <c r="X67" s="14">
        <f t="shared" si="5"/>
        <v>0</v>
      </c>
      <c r="Y67" s="14">
        <v>0</v>
      </c>
      <c r="Z67" s="14"/>
      <c r="AA67" s="14">
        <f t="shared" si="6"/>
        <v>0</v>
      </c>
      <c r="AB67" s="14">
        <v>0</v>
      </c>
      <c r="AC67" s="14">
        <v>0</v>
      </c>
      <c r="AD67" s="14">
        <v>0</v>
      </c>
      <c r="AE67" s="14">
        <v>0</v>
      </c>
      <c r="AF67" s="14">
        <v>0</v>
      </c>
      <c r="AG67" s="89">
        <v>0</v>
      </c>
      <c r="AH67" s="14"/>
      <c r="AI67" s="33"/>
      <c r="AJ67" s="117"/>
      <c r="AK67" s="117"/>
      <c r="AL67" s="117"/>
      <c r="AM67" s="117"/>
      <c r="AN67" s="117"/>
      <c r="AO67" s="117"/>
      <c r="AP67" s="117"/>
      <c r="AQ67" s="117"/>
      <c r="AR67" s="117"/>
      <c r="AS67" s="117"/>
      <c r="AT67" s="117"/>
      <c r="AU67" s="117"/>
      <c r="AV67" s="14"/>
      <c r="AW67" s="118"/>
      <c r="AX67" s="119"/>
      <c r="AY67" s="122"/>
      <c r="AZ67" s="123"/>
    </row>
    <row r="68" spans="1:52" ht="17.5" hidden="1" customHeight="1">
      <c r="A68" s="22"/>
      <c r="B68" s="34">
        <v>78630</v>
      </c>
      <c r="C68" s="14" t="s">
        <v>74</v>
      </c>
      <c r="D68" s="20" t="s">
        <v>102</v>
      </c>
      <c r="E68" s="20" t="s">
        <v>102</v>
      </c>
      <c r="F68" s="20"/>
      <c r="G68" s="14">
        <v>0</v>
      </c>
      <c r="H68" s="14"/>
      <c r="I68" s="14">
        <f t="shared" si="0"/>
        <v>0</v>
      </c>
      <c r="J68" s="14">
        <v>0</v>
      </c>
      <c r="K68" s="14"/>
      <c r="L68" s="14">
        <f t="shared" si="1"/>
        <v>0</v>
      </c>
      <c r="M68" s="14">
        <v>200</v>
      </c>
      <c r="N68" s="14"/>
      <c r="O68" s="14">
        <f t="shared" si="2"/>
        <v>200</v>
      </c>
      <c r="P68" s="14">
        <v>0</v>
      </c>
      <c r="Q68" s="14"/>
      <c r="R68" s="14">
        <f t="shared" si="3"/>
        <v>0</v>
      </c>
      <c r="S68" s="14">
        <v>0</v>
      </c>
      <c r="T68" s="14"/>
      <c r="U68" s="14">
        <f t="shared" si="4"/>
        <v>0</v>
      </c>
      <c r="V68" s="14">
        <v>200</v>
      </c>
      <c r="W68" s="14"/>
      <c r="X68" s="14">
        <f t="shared" si="5"/>
        <v>200</v>
      </c>
      <c r="Y68" s="14">
        <v>400</v>
      </c>
      <c r="Z68" s="14"/>
      <c r="AA68" s="14">
        <f t="shared" si="6"/>
        <v>400</v>
      </c>
      <c r="AB68" s="14">
        <v>0</v>
      </c>
      <c r="AC68" s="14">
        <v>200</v>
      </c>
      <c r="AD68" s="14">
        <v>0</v>
      </c>
      <c r="AE68" s="14">
        <v>400</v>
      </c>
      <c r="AF68" s="14">
        <v>0</v>
      </c>
      <c r="AG68" s="89">
        <v>1400</v>
      </c>
      <c r="AH68" s="14"/>
      <c r="AI68" s="33"/>
      <c r="AJ68" s="117"/>
      <c r="AK68" s="117"/>
      <c r="AL68" s="117"/>
      <c r="AM68" s="117"/>
      <c r="AN68" s="117"/>
      <c r="AO68" s="117"/>
      <c r="AP68" s="117"/>
      <c r="AQ68" s="117"/>
      <c r="AR68" s="117"/>
      <c r="AS68" s="117"/>
      <c r="AT68" s="117"/>
      <c r="AU68" s="117"/>
      <c r="AV68" s="14"/>
      <c r="AW68" s="118"/>
      <c r="AX68" s="119"/>
      <c r="AY68" s="122"/>
      <c r="AZ68" s="123"/>
    </row>
    <row r="69" spans="1:52" ht="17.5" customHeight="1">
      <c r="A69" s="22"/>
      <c r="B69" s="34">
        <v>78631</v>
      </c>
      <c r="C69" s="14" t="s">
        <v>196</v>
      </c>
      <c r="D69" s="20" t="s">
        <v>102</v>
      </c>
      <c r="E69" s="20" t="s">
        <v>102</v>
      </c>
      <c r="F69" s="20"/>
      <c r="G69" s="14">
        <v>5</v>
      </c>
      <c r="H69" s="14">
        <v>4.9000000000000004</v>
      </c>
      <c r="I69" s="14">
        <f t="shared" si="0"/>
        <v>9.9999999999999645E-2</v>
      </c>
      <c r="J69" s="14">
        <v>5</v>
      </c>
      <c r="K69" s="14">
        <v>4.9000000000000004</v>
      </c>
      <c r="L69" s="14">
        <f t="shared" si="1"/>
        <v>9.9999999999999645E-2</v>
      </c>
      <c r="M69" s="14">
        <v>5</v>
      </c>
      <c r="N69" s="14">
        <v>4.9000000000000004</v>
      </c>
      <c r="O69" s="14">
        <f t="shared" si="2"/>
        <v>9.9999999999999645E-2</v>
      </c>
      <c r="P69" s="14">
        <v>5</v>
      </c>
      <c r="Q69" s="14">
        <v>4.9000000000000004</v>
      </c>
      <c r="R69" s="14">
        <f t="shared" si="3"/>
        <v>9.9999999999999645E-2</v>
      </c>
      <c r="S69" s="14">
        <v>5</v>
      </c>
      <c r="T69" s="14">
        <v>4.9000000000000004</v>
      </c>
      <c r="U69" s="14">
        <f t="shared" si="4"/>
        <v>9.9999999999999645E-2</v>
      </c>
      <c r="V69" s="14">
        <v>5</v>
      </c>
      <c r="W69" s="14">
        <v>4.9000000000000004</v>
      </c>
      <c r="X69" s="14">
        <f t="shared" si="5"/>
        <v>9.9999999999999645E-2</v>
      </c>
      <c r="Y69" s="14">
        <v>5</v>
      </c>
      <c r="Z69" s="14">
        <v>4.9000000000000004</v>
      </c>
      <c r="AA69" s="14">
        <f t="shared" si="6"/>
        <v>9.9999999999999645E-2</v>
      </c>
      <c r="AB69" s="14">
        <v>5</v>
      </c>
      <c r="AC69" s="14">
        <v>5</v>
      </c>
      <c r="AD69" s="14">
        <v>5</v>
      </c>
      <c r="AE69" s="14">
        <v>5</v>
      </c>
      <c r="AF69" s="14">
        <v>5</v>
      </c>
      <c r="AG69" s="89">
        <v>60</v>
      </c>
      <c r="AH69" s="14"/>
      <c r="AI69" s="33"/>
      <c r="AJ69" s="117"/>
      <c r="AK69" s="117"/>
      <c r="AL69" s="117"/>
      <c r="AM69" s="117"/>
      <c r="AN69" s="117"/>
      <c r="AO69" s="117"/>
      <c r="AP69" s="117"/>
      <c r="AQ69" s="117"/>
      <c r="AR69" s="117"/>
      <c r="AS69" s="117"/>
      <c r="AT69" s="117"/>
      <c r="AU69" s="117"/>
      <c r="AV69" s="14"/>
      <c r="AW69" s="118"/>
      <c r="AX69" s="119"/>
      <c r="AY69" s="122"/>
      <c r="AZ69" s="123"/>
    </row>
    <row r="70" spans="1:52" ht="12.5">
      <c r="A70" s="22"/>
      <c r="B70" s="34">
        <v>78632</v>
      </c>
      <c r="C70" s="14" t="s">
        <v>76</v>
      </c>
      <c r="D70" s="20" t="s">
        <v>102</v>
      </c>
      <c r="E70" s="20" t="s">
        <v>102</v>
      </c>
      <c r="F70" s="20"/>
      <c r="G70" s="14">
        <v>0</v>
      </c>
      <c r="H70" s="14"/>
      <c r="I70" s="14">
        <f t="shared" si="0"/>
        <v>0</v>
      </c>
      <c r="J70" s="14">
        <v>0</v>
      </c>
      <c r="K70" s="14"/>
      <c r="L70" s="14">
        <f t="shared" si="1"/>
        <v>0</v>
      </c>
      <c r="M70" s="14">
        <v>0</v>
      </c>
      <c r="N70" s="14">
        <v>20</v>
      </c>
      <c r="O70" s="14">
        <f t="shared" si="2"/>
        <v>-20</v>
      </c>
      <c r="P70" s="14">
        <v>0</v>
      </c>
      <c r="Q70" s="14">
        <v>2657</v>
      </c>
      <c r="R70" s="14">
        <f t="shared" si="3"/>
        <v>-2657</v>
      </c>
      <c r="S70" s="14">
        <v>0</v>
      </c>
      <c r="T70" s="14"/>
      <c r="U70" s="14">
        <f t="shared" si="4"/>
        <v>0</v>
      </c>
      <c r="V70" s="14">
        <v>0</v>
      </c>
      <c r="W70" s="14">
        <v>17</v>
      </c>
      <c r="X70" s="14">
        <f t="shared" si="5"/>
        <v>-17</v>
      </c>
      <c r="Y70" s="14">
        <v>0</v>
      </c>
      <c r="Z70" s="14">
        <v>4.04</v>
      </c>
      <c r="AA70" s="14">
        <f t="shared" si="6"/>
        <v>-4.04</v>
      </c>
      <c r="AB70" s="14">
        <v>0</v>
      </c>
      <c r="AC70" s="14">
        <v>0</v>
      </c>
      <c r="AD70" s="14">
        <v>0</v>
      </c>
      <c r="AE70" s="14">
        <v>4000</v>
      </c>
      <c r="AF70" s="14">
        <v>0</v>
      </c>
      <c r="AG70" s="89">
        <v>4000</v>
      </c>
      <c r="AH70" s="14"/>
      <c r="AI70" s="33"/>
      <c r="AJ70" s="117"/>
      <c r="AK70" s="117"/>
      <c r="AL70" s="117"/>
      <c r="AM70" s="117"/>
      <c r="AN70" s="117"/>
      <c r="AO70" s="117"/>
      <c r="AP70" s="117"/>
      <c r="AQ70" s="117"/>
      <c r="AR70" s="117"/>
      <c r="AS70" s="117"/>
      <c r="AT70" s="117"/>
      <c r="AU70" s="117"/>
      <c r="AV70" s="14"/>
      <c r="AW70" s="118"/>
      <c r="AX70" s="119"/>
      <c r="AY70" s="122"/>
      <c r="AZ70" s="123"/>
    </row>
    <row r="71" spans="1:52" ht="17.5" hidden="1" customHeight="1">
      <c r="A71" s="22"/>
      <c r="B71" s="34">
        <v>78633</v>
      </c>
      <c r="C71" s="14" t="s">
        <v>77</v>
      </c>
      <c r="D71" s="20" t="s">
        <v>102</v>
      </c>
      <c r="E71" s="20" t="s">
        <v>102</v>
      </c>
      <c r="F71" s="20"/>
      <c r="G71" s="14">
        <v>0</v>
      </c>
      <c r="H71" s="14">
        <v>250</v>
      </c>
      <c r="I71" s="14">
        <f t="shared" ref="I71:I92" si="7">G71-H71</f>
        <v>-250</v>
      </c>
      <c r="J71" s="14">
        <v>0</v>
      </c>
      <c r="K71" s="14"/>
      <c r="L71" s="14">
        <f t="shared" ref="L71:L92" si="8">J71-K71</f>
        <v>0</v>
      </c>
      <c r="M71" s="14">
        <v>0</v>
      </c>
      <c r="N71" s="14"/>
      <c r="O71" s="14">
        <f t="shared" ref="O71:O92" si="9">M71-N71</f>
        <v>0</v>
      </c>
      <c r="P71" s="14">
        <v>0</v>
      </c>
      <c r="Q71" s="14"/>
      <c r="R71" s="14">
        <f t="shared" ref="R71:R92" si="10">P71-Q71</f>
        <v>0</v>
      </c>
      <c r="S71" s="14">
        <v>0</v>
      </c>
      <c r="T71" s="14"/>
      <c r="U71" s="14">
        <f t="shared" ref="U71:U92" si="11">S71-T71</f>
        <v>0</v>
      </c>
      <c r="V71" s="14">
        <v>0</v>
      </c>
      <c r="W71" s="14"/>
      <c r="X71" s="14">
        <f t="shared" ref="X71:X92" si="12">V71-W71</f>
        <v>0</v>
      </c>
      <c r="Y71" s="14">
        <v>0</v>
      </c>
      <c r="Z71" s="14"/>
      <c r="AA71" s="14">
        <f t="shared" ref="AA71:AA92" si="13">Y71-Z71</f>
        <v>0</v>
      </c>
      <c r="AB71" s="14">
        <v>0</v>
      </c>
      <c r="AC71" s="14">
        <v>0</v>
      </c>
      <c r="AD71" s="14">
        <v>0</v>
      </c>
      <c r="AE71" s="14">
        <v>0</v>
      </c>
      <c r="AF71" s="14">
        <v>0</v>
      </c>
      <c r="AG71" s="89">
        <v>0</v>
      </c>
      <c r="AH71" s="14"/>
      <c r="AI71" s="33"/>
      <c r="AJ71" s="117"/>
      <c r="AK71" s="117"/>
      <c r="AL71" s="117"/>
      <c r="AM71" s="117"/>
      <c r="AN71" s="117"/>
      <c r="AO71" s="117"/>
      <c r="AP71" s="117"/>
      <c r="AQ71" s="117"/>
      <c r="AR71" s="117"/>
      <c r="AS71" s="117"/>
      <c r="AT71" s="117"/>
      <c r="AU71" s="117"/>
      <c r="AV71" s="14"/>
      <c r="AW71" s="118"/>
      <c r="AX71" s="119"/>
      <c r="AY71" s="122"/>
      <c r="AZ71" s="123"/>
    </row>
    <row r="72" spans="1:52" ht="17.5" customHeight="1">
      <c r="A72" s="22"/>
      <c r="B72" s="34">
        <v>78635</v>
      </c>
      <c r="C72" s="14" t="s">
        <v>78</v>
      </c>
      <c r="D72" s="20" t="s">
        <v>102</v>
      </c>
      <c r="E72" s="20" t="s">
        <v>102</v>
      </c>
      <c r="F72" s="20"/>
      <c r="G72" s="14">
        <v>90</v>
      </c>
      <c r="H72" s="14">
        <v>161.4</v>
      </c>
      <c r="I72" s="14">
        <f t="shared" si="7"/>
        <v>-71.400000000000006</v>
      </c>
      <c r="J72" s="14">
        <v>90</v>
      </c>
      <c r="K72" s="14">
        <v>119</v>
      </c>
      <c r="L72" s="14">
        <f t="shared" si="8"/>
        <v>-29</v>
      </c>
      <c r="M72" s="14">
        <v>90</v>
      </c>
      <c r="N72" s="14">
        <v>106.4</v>
      </c>
      <c r="O72" s="14">
        <f t="shared" si="9"/>
        <v>-16.400000000000006</v>
      </c>
      <c r="P72" s="14">
        <v>90</v>
      </c>
      <c r="Q72" s="14">
        <v>166.5</v>
      </c>
      <c r="R72" s="14">
        <f t="shared" si="10"/>
        <v>-76.5</v>
      </c>
      <c r="S72" s="14">
        <v>90</v>
      </c>
      <c r="T72" s="14">
        <v>98.6</v>
      </c>
      <c r="U72" s="14">
        <f t="shared" si="11"/>
        <v>-8.5999999999999943</v>
      </c>
      <c r="V72" s="14">
        <v>90</v>
      </c>
      <c r="W72" s="14">
        <v>174.3</v>
      </c>
      <c r="X72" s="14">
        <f t="shared" si="12"/>
        <v>-84.300000000000011</v>
      </c>
      <c r="Y72" s="14">
        <v>90</v>
      </c>
      <c r="Z72" s="14">
        <v>50</v>
      </c>
      <c r="AA72" s="14">
        <f t="shared" si="13"/>
        <v>40</v>
      </c>
      <c r="AB72" s="14">
        <v>90</v>
      </c>
      <c r="AC72" s="14">
        <v>90</v>
      </c>
      <c r="AD72" s="14">
        <v>90</v>
      </c>
      <c r="AE72" s="14">
        <v>90</v>
      </c>
      <c r="AF72" s="14">
        <v>90</v>
      </c>
      <c r="AG72" s="89">
        <v>1080</v>
      </c>
      <c r="AH72" s="14"/>
      <c r="AI72" s="33"/>
      <c r="AJ72" s="117"/>
      <c r="AK72" s="117"/>
      <c r="AL72" s="117"/>
      <c r="AM72" s="117"/>
      <c r="AN72" s="117"/>
      <c r="AO72" s="117"/>
      <c r="AP72" s="117"/>
      <c r="AQ72" s="117"/>
      <c r="AR72" s="117"/>
      <c r="AS72" s="117"/>
      <c r="AT72" s="117"/>
      <c r="AU72" s="117"/>
      <c r="AV72" s="14"/>
      <c r="AW72" s="118"/>
      <c r="AX72" s="119"/>
      <c r="AY72" s="122"/>
      <c r="AZ72" s="123"/>
    </row>
    <row r="73" spans="1:52" ht="17.5" hidden="1" customHeight="1">
      <c r="A73" s="22"/>
      <c r="B73" s="34">
        <v>78636</v>
      </c>
      <c r="C73" s="14" t="s">
        <v>79</v>
      </c>
      <c r="D73" s="20" t="s">
        <v>102</v>
      </c>
      <c r="E73" s="20" t="s">
        <v>102</v>
      </c>
      <c r="F73" s="20"/>
      <c r="G73" s="14">
        <v>0</v>
      </c>
      <c r="H73" s="14"/>
      <c r="I73" s="14">
        <f t="shared" si="7"/>
        <v>0</v>
      </c>
      <c r="J73" s="14">
        <v>0</v>
      </c>
      <c r="K73" s="14"/>
      <c r="L73" s="14">
        <f t="shared" si="8"/>
        <v>0</v>
      </c>
      <c r="M73" s="14">
        <v>0</v>
      </c>
      <c r="N73" s="14"/>
      <c r="O73" s="14">
        <f t="shared" si="9"/>
        <v>0</v>
      </c>
      <c r="P73" s="14">
        <v>0</v>
      </c>
      <c r="Q73" s="14"/>
      <c r="R73" s="14">
        <f t="shared" si="10"/>
        <v>0</v>
      </c>
      <c r="S73" s="14">
        <v>0</v>
      </c>
      <c r="T73" s="14"/>
      <c r="U73" s="14">
        <f t="shared" si="11"/>
        <v>0</v>
      </c>
      <c r="V73" s="14">
        <v>0</v>
      </c>
      <c r="W73" s="14"/>
      <c r="X73" s="14">
        <f t="shared" si="12"/>
        <v>0</v>
      </c>
      <c r="Y73" s="14">
        <v>0</v>
      </c>
      <c r="Z73" s="14"/>
      <c r="AA73" s="14">
        <f t="shared" si="13"/>
        <v>0</v>
      </c>
      <c r="AB73" s="14">
        <v>0</v>
      </c>
      <c r="AC73" s="14">
        <v>0</v>
      </c>
      <c r="AD73" s="14">
        <v>0</v>
      </c>
      <c r="AE73" s="14">
        <v>0</v>
      </c>
      <c r="AF73" s="14">
        <v>0</v>
      </c>
      <c r="AG73" s="89">
        <v>0</v>
      </c>
      <c r="AH73" s="14"/>
      <c r="AI73" s="33"/>
      <c r="AJ73" s="117"/>
      <c r="AK73" s="117"/>
      <c r="AL73" s="117"/>
      <c r="AM73" s="117"/>
      <c r="AN73" s="117"/>
      <c r="AO73" s="117"/>
      <c r="AP73" s="117"/>
      <c r="AQ73" s="117"/>
      <c r="AR73" s="117"/>
      <c r="AS73" s="117"/>
      <c r="AT73" s="117"/>
      <c r="AU73" s="117"/>
      <c r="AV73" s="14"/>
      <c r="AW73" s="118"/>
      <c r="AX73" s="119"/>
      <c r="AY73" s="122"/>
      <c r="AZ73" s="123"/>
    </row>
    <row r="74" spans="1:52" ht="17.5" hidden="1" customHeight="1">
      <c r="A74" s="22"/>
      <c r="B74" s="34">
        <v>78637</v>
      </c>
      <c r="C74" s="14" t="s">
        <v>80</v>
      </c>
      <c r="D74" s="20" t="s">
        <v>102</v>
      </c>
      <c r="E74" s="20" t="s">
        <v>102</v>
      </c>
      <c r="F74" s="20"/>
      <c r="G74" s="14">
        <v>0</v>
      </c>
      <c r="H74" s="14"/>
      <c r="I74" s="14">
        <f t="shared" si="7"/>
        <v>0</v>
      </c>
      <c r="J74" s="14">
        <v>0</v>
      </c>
      <c r="K74" s="14"/>
      <c r="L74" s="14">
        <f t="shared" si="8"/>
        <v>0</v>
      </c>
      <c r="M74" s="14">
        <v>0</v>
      </c>
      <c r="N74" s="14"/>
      <c r="O74" s="14">
        <f t="shared" si="9"/>
        <v>0</v>
      </c>
      <c r="P74" s="14">
        <v>0</v>
      </c>
      <c r="Q74" s="14"/>
      <c r="R74" s="14">
        <f t="shared" si="10"/>
        <v>0</v>
      </c>
      <c r="S74" s="14">
        <v>0</v>
      </c>
      <c r="T74" s="14"/>
      <c r="U74" s="14">
        <f t="shared" si="11"/>
        <v>0</v>
      </c>
      <c r="V74" s="14">
        <v>0</v>
      </c>
      <c r="W74" s="14"/>
      <c r="X74" s="14">
        <f t="shared" si="12"/>
        <v>0</v>
      </c>
      <c r="Y74" s="14">
        <v>0</v>
      </c>
      <c r="Z74" s="14"/>
      <c r="AA74" s="14">
        <f t="shared" si="13"/>
        <v>0</v>
      </c>
      <c r="AB74" s="14">
        <v>0</v>
      </c>
      <c r="AC74" s="14">
        <v>0</v>
      </c>
      <c r="AD74" s="14">
        <v>0</v>
      </c>
      <c r="AE74" s="14">
        <v>0</v>
      </c>
      <c r="AF74" s="14">
        <v>0</v>
      </c>
      <c r="AG74" s="89">
        <v>0</v>
      </c>
      <c r="AH74" s="14"/>
      <c r="AI74" s="33"/>
      <c r="AJ74" s="117"/>
      <c r="AK74" s="117"/>
      <c r="AL74" s="117"/>
      <c r="AM74" s="117"/>
      <c r="AN74" s="117"/>
      <c r="AO74" s="117"/>
      <c r="AP74" s="117"/>
      <c r="AQ74" s="117"/>
      <c r="AR74" s="117"/>
      <c r="AS74" s="117"/>
      <c r="AT74" s="117"/>
      <c r="AU74" s="117"/>
      <c r="AV74" s="14"/>
      <c r="AW74" s="118"/>
      <c r="AX74" s="119"/>
      <c r="AY74" s="122"/>
      <c r="AZ74" s="123"/>
    </row>
    <row r="75" spans="1:52" ht="17.5" customHeight="1">
      <c r="A75" s="22"/>
      <c r="B75" s="34">
        <v>78639</v>
      </c>
      <c r="C75" s="14" t="s">
        <v>81</v>
      </c>
      <c r="D75" s="20" t="s">
        <v>102</v>
      </c>
      <c r="E75" s="20" t="s">
        <v>102</v>
      </c>
      <c r="F75" s="20"/>
      <c r="G75" s="14">
        <v>50</v>
      </c>
      <c r="H75" s="14">
        <v>-0.2</v>
      </c>
      <c r="I75" s="14">
        <f t="shared" si="7"/>
        <v>50.2</v>
      </c>
      <c r="J75" s="14">
        <v>50</v>
      </c>
      <c r="K75" s="14">
        <v>-0.2</v>
      </c>
      <c r="L75" s="14">
        <f t="shared" si="8"/>
        <v>50.2</v>
      </c>
      <c r="M75" s="14">
        <v>50</v>
      </c>
      <c r="N75" s="14">
        <v>-0.2</v>
      </c>
      <c r="O75" s="14">
        <f t="shared" si="9"/>
        <v>50.2</v>
      </c>
      <c r="P75" s="14">
        <v>50</v>
      </c>
      <c r="Q75" s="14">
        <v>-0.2</v>
      </c>
      <c r="R75" s="14">
        <f t="shared" si="10"/>
        <v>50.2</v>
      </c>
      <c r="S75" s="14">
        <v>50</v>
      </c>
      <c r="T75" s="14">
        <v>-0.2</v>
      </c>
      <c r="U75" s="14">
        <f t="shared" si="11"/>
        <v>50.2</v>
      </c>
      <c r="V75" s="14">
        <v>50</v>
      </c>
      <c r="W75" s="14">
        <v>0.8</v>
      </c>
      <c r="X75" s="14">
        <f t="shared" si="12"/>
        <v>49.2</v>
      </c>
      <c r="Y75" s="14">
        <v>50</v>
      </c>
      <c r="Z75" s="14">
        <v>-0.2</v>
      </c>
      <c r="AA75" s="14">
        <f t="shared" si="13"/>
        <v>50.2</v>
      </c>
      <c r="AB75" s="14">
        <v>50</v>
      </c>
      <c r="AC75" s="14">
        <v>50</v>
      </c>
      <c r="AD75" s="14">
        <v>50</v>
      </c>
      <c r="AE75" s="14">
        <v>50</v>
      </c>
      <c r="AF75" s="14">
        <v>50</v>
      </c>
      <c r="AG75" s="89">
        <v>600</v>
      </c>
      <c r="AH75" s="14"/>
      <c r="AI75" s="33"/>
      <c r="AJ75" s="117"/>
      <c r="AK75" s="117"/>
      <c r="AL75" s="117"/>
      <c r="AM75" s="117"/>
      <c r="AN75" s="117"/>
      <c r="AO75" s="117"/>
      <c r="AP75" s="117"/>
      <c r="AQ75" s="117"/>
      <c r="AR75" s="117"/>
      <c r="AS75" s="117"/>
      <c r="AT75" s="117"/>
      <c r="AU75" s="117"/>
      <c r="AV75" s="14"/>
      <c r="AW75" s="118"/>
      <c r="AX75" s="119"/>
      <c r="AY75" s="122"/>
      <c r="AZ75" s="123"/>
    </row>
    <row r="76" spans="1:52" ht="17.5" hidden="1" customHeight="1">
      <c r="A76" s="22"/>
      <c r="B76" s="34">
        <v>78671</v>
      </c>
      <c r="C76" s="14" t="s">
        <v>82</v>
      </c>
      <c r="D76" s="20" t="s">
        <v>102</v>
      </c>
      <c r="E76" s="20" t="s">
        <v>102</v>
      </c>
      <c r="F76" s="20"/>
      <c r="G76" s="14">
        <v>0</v>
      </c>
      <c r="H76" s="14"/>
      <c r="I76" s="14">
        <f t="shared" si="7"/>
        <v>0</v>
      </c>
      <c r="J76" s="14">
        <v>0</v>
      </c>
      <c r="K76" s="14"/>
      <c r="L76" s="14">
        <f t="shared" si="8"/>
        <v>0</v>
      </c>
      <c r="M76" s="14">
        <v>100</v>
      </c>
      <c r="N76" s="14"/>
      <c r="O76" s="14">
        <f t="shared" si="9"/>
        <v>100</v>
      </c>
      <c r="P76" s="14">
        <v>0</v>
      </c>
      <c r="Q76" s="14"/>
      <c r="R76" s="14">
        <f t="shared" si="10"/>
        <v>0</v>
      </c>
      <c r="S76" s="14">
        <v>0</v>
      </c>
      <c r="T76" s="14"/>
      <c r="U76" s="14">
        <f t="shared" si="11"/>
        <v>0</v>
      </c>
      <c r="V76" s="14">
        <v>100</v>
      </c>
      <c r="W76" s="14"/>
      <c r="X76" s="14">
        <f t="shared" si="12"/>
        <v>100</v>
      </c>
      <c r="Y76" s="14">
        <v>0</v>
      </c>
      <c r="Z76" s="14"/>
      <c r="AA76" s="14">
        <f t="shared" si="13"/>
        <v>0</v>
      </c>
      <c r="AB76" s="14">
        <v>0</v>
      </c>
      <c r="AC76" s="14">
        <v>100</v>
      </c>
      <c r="AD76" s="14">
        <v>0</v>
      </c>
      <c r="AE76" s="14">
        <v>0</v>
      </c>
      <c r="AF76" s="14">
        <v>100</v>
      </c>
      <c r="AG76" s="89">
        <v>400</v>
      </c>
      <c r="AH76" s="14"/>
      <c r="AI76" s="33"/>
      <c r="AJ76" s="117"/>
      <c r="AK76" s="117"/>
      <c r="AL76" s="117"/>
      <c r="AM76" s="117"/>
      <c r="AN76" s="117"/>
      <c r="AO76" s="117"/>
      <c r="AP76" s="117"/>
      <c r="AQ76" s="117"/>
      <c r="AR76" s="117"/>
      <c r="AS76" s="117"/>
      <c r="AT76" s="117"/>
      <c r="AU76" s="117"/>
      <c r="AV76" s="14"/>
      <c r="AW76" s="118"/>
      <c r="AX76" s="119"/>
      <c r="AY76" s="122"/>
      <c r="AZ76" s="123"/>
    </row>
    <row r="77" spans="1:52" ht="17.5" hidden="1" customHeight="1">
      <c r="A77" s="22"/>
      <c r="B77" s="34">
        <v>78693</v>
      </c>
      <c r="C77" s="14" t="s">
        <v>83</v>
      </c>
      <c r="D77" s="20" t="s">
        <v>102</v>
      </c>
      <c r="E77" s="20" t="s">
        <v>102</v>
      </c>
      <c r="F77" s="20"/>
      <c r="G77" s="14">
        <v>0</v>
      </c>
      <c r="H77" s="14"/>
      <c r="I77" s="14">
        <f t="shared" si="7"/>
        <v>0</v>
      </c>
      <c r="J77" s="14">
        <v>0</v>
      </c>
      <c r="K77" s="14"/>
      <c r="L77" s="14">
        <f t="shared" si="8"/>
        <v>0</v>
      </c>
      <c r="M77" s="14">
        <v>0</v>
      </c>
      <c r="N77" s="14"/>
      <c r="O77" s="14">
        <f t="shared" si="9"/>
        <v>0</v>
      </c>
      <c r="P77" s="14">
        <v>0</v>
      </c>
      <c r="Q77" s="14"/>
      <c r="R77" s="14">
        <f t="shared" si="10"/>
        <v>0</v>
      </c>
      <c r="S77" s="14">
        <v>0</v>
      </c>
      <c r="T77" s="14"/>
      <c r="U77" s="14">
        <f t="shared" si="11"/>
        <v>0</v>
      </c>
      <c r="V77" s="14">
        <v>0</v>
      </c>
      <c r="W77" s="14"/>
      <c r="X77" s="14">
        <f t="shared" si="12"/>
        <v>0</v>
      </c>
      <c r="Y77" s="14">
        <v>0</v>
      </c>
      <c r="Z77" s="14"/>
      <c r="AA77" s="14">
        <f t="shared" si="13"/>
        <v>0</v>
      </c>
      <c r="AB77" s="14">
        <v>0</v>
      </c>
      <c r="AC77" s="14">
        <v>0</v>
      </c>
      <c r="AD77" s="14">
        <v>0</v>
      </c>
      <c r="AE77" s="14">
        <v>0</v>
      </c>
      <c r="AF77" s="14">
        <v>0</v>
      </c>
      <c r="AG77" s="89">
        <v>0</v>
      </c>
      <c r="AH77" s="14"/>
      <c r="AI77" s="33"/>
      <c r="AJ77" s="117"/>
      <c r="AK77" s="117"/>
      <c r="AL77" s="117"/>
      <c r="AM77" s="117"/>
      <c r="AN77" s="117"/>
      <c r="AO77" s="117"/>
      <c r="AP77" s="117"/>
      <c r="AQ77" s="117"/>
      <c r="AR77" s="117"/>
      <c r="AS77" s="117"/>
      <c r="AT77" s="117"/>
      <c r="AU77" s="117"/>
      <c r="AV77" s="14"/>
      <c r="AW77" s="118"/>
      <c r="AX77" s="119"/>
      <c r="AY77" s="122"/>
      <c r="AZ77" s="123"/>
    </row>
    <row r="78" spans="1:52" ht="17.5" customHeight="1">
      <c r="A78" s="22"/>
      <c r="B78" s="34">
        <v>78699</v>
      </c>
      <c r="C78" s="14" t="s">
        <v>84</v>
      </c>
      <c r="D78" s="20" t="s">
        <v>102</v>
      </c>
      <c r="E78" s="20" t="s">
        <v>102</v>
      </c>
      <c r="F78" s="20"/>
      <c r="G78" s="14">
        <v>180</v>
      </c>
      <c r="H78" s="14">
        <v>156.5</v>
      </c>
      <c r="I78" s="14">
        <f t="shared" si="7"/>
        <v>23.5</v>
      </c>
      <c r="J78" s="14">
        <v>190</v>
      </c>
      <c r="K78" s="14">
        <v>184</v>
      </c>
      <c r="L78" s="14">
        <f t="shared" si="8"/>
        <v>6</v>
      </c>
      <c r="M78" s="14">
        <v>200</v>
      </c>
      <c r="N78" s="14">
        <v>198</v>
      </c>
      <c r="O78" s="14">
        <f t="shared" si="9"/>
        <v>2</v>
      </c>
      <c r="P78" s="14">
        <v>180</v>
      </c>
      <c r="Q78" s="14">
        <v>190</v>
      </c>
      <c r="R78" s="14">
        <f t="shared" si="10"/>
        <v>-10</v>
      </c>
      <c r="S78" s="14">
        <v>190</v>
      </c>
      <c r="T78" s="14">
        <v>208</v>
      </c>
      <c r="U78" s="14">
        <f t="shared" si="11"/>
        <v>-18</v>
      </c>
      <c r="V78" s="14">
        <v>200</v>
      </c>
      <c r="W78" s="14">
        <v>180</v>
      </c>
      <c r="X78" s="14">
        <f t="shared" si="12"/>
        <v>20</v>
      </c>
      <c r="Y78" s="14">
        <v>180</v>
      </c>
      <c r="Z78" s="14">
        <v>198</v>
      </c>
      <c r="AA78" s="14">
        <f t="shared" si="13"/>
        <v>-18</v>
      </c>
      <c r="AB78" s="14">
        <v>190</v>
      </c>
      <c r="AC78" s="14">
        <v>200</v>
      </c>
      <c r="AD78" s="14">
        <v>180</v>
      </c>
      <c r="AE78" s="14">
        <v>190</v>
      </c>
      <c r="AF78" s="14">
        <v>200</v>
      </c>
      <c r="AG78" s="89">
        <v>2280</v>
      </c>
      <c r="AH78" s="14"/>
      <c r="AI78" s="33"/>
      <c r="AJ78" s="117"/>
      <c r="AK78" s="117"/>
      <c r="AL78" s="117"/>
      <c r="AM78" s="117"/>
      <c r="AN78" s="117"/>
      <c r="AO78" s="117"/>
      <c r="AP78" s="117"/>
      <c r="AQ78" s="117"/>
      <c r="AR78" s="117"/>
      <c r="AS78" s="117"/>
      <c r="AT78" s="117"/>
      <c r="AU78" s="117"/>
      <c r="AV78" s="14"/>
      <c r="AW78" s="118"/>
      <c r="AX78" s="119"/>
      <c r="AY78" s="122"/>
      <c r="AZ78" s="123"/>
    </row>
    <row r="79" spans="1:52" ht="17.5" hidden="1" customHeight="1">
      <c r="A79" s="22"/>
      <c r="B79" s="34">
        <v>78731</v>
      </c>
      <c r="C79" s="14" t="s">
        <v>85</v>
      </c>
      <c r="D79" s="20" t="s">
        <v>102</v>
      </c>
      <c r="E79" s="20" t="s">
        <v>102</v>
      </c>
      <c r="F79" s="20"/>
      <c r="G79" s="14">
        <v>0</v>
      </c>
      <c r="H79" s="14"/>
      <c r="I79" s="14">
        <f t="shared" si="7"/>
        <v>0</v>
      </c>
      <c r="J79" s="14">
        <v>0</v>
      </c>
      <c r="K79" s="14"/>
      <c r="L79" s="14">
        <f t="shared" si="8"/>
        <v>0</v>
      </c>
      <c r="M79" s="14">
        <v>0</v>
      </c>
      <c r="N79" s="14"/>
      <c r="O79" s="14">
        <f t="shared" si="9"/>
        <v>0</v>
      </c>
      <c r="P79" s="14">
        <v>0</v>
      </c>
      <c r="Q79" s="14"/>
      <c r="R79" s="14">
        <f t="shared" si="10"/>
        <v>0</v>
      </c>
      <c r="S79" s="14">
        <v>0</v>
      </c>
      <c r="T79" s="14"/>
      <c r="U79" s="14">
        <f t="shared" si="11"/>
        <v>0</v>
      </c>
      <c r="V79" s="14">
        <v>0</v>
      </c>
      <c r="W79" s="14"/>
      <c r="X79" s="14">
        <f t="shared" si="12"/>
        <v>0</v>
      </c>
      <c r="Y79" s="14">
        <v>0</v>
      </c>
      <c r="Z79" s="14"/>
      <c r="AA79" s="14">
        <f t="shared" si="13"/>
        <v>0</v>
      </c>
      <c r="AB79" s="14">
        <v>0</v>
      </c>
      <c r="AC79" s="14">
        <v>0</v>
      </c>
      <c r="AD79" s="14">
        <v>0</v>
      </c>
      <c r="AE79" s="14">
        <v>0</v>
      </c>
      <c r="AF79" s="14">
        <v>0</v>
      </c>
      <c r="AG79" s="89">
        <v>0</v>
      </c>
      <c r="AH79" s="14"/>
      <c r="AI79" s="33"/>
      <c r="AJ79" s="117"/>
      <c r="AK79" s="117"/>
      <c r="AL79" s="117"/>
      <c r="AM79" s="117"/>
      <c r="AN79" s="117"/>
      <c r="AO79" s="117"/>
      <c r="AP79" s="117"/>
      <c r="AQ79" s="117"/>
      <c r="AR79" s="117"/>
      <c r="AS79" s="117"/>
      <c r="AT79" s="117"/>
      <c r="AU79" s="117"/>
      <c r="AV79" s="14"/>
      <c r="AW79" s="118"/>
      <c r="AX79" s="119"/>
      <c r="AY79" s="122"/>
      <c r="AZ79" s="123"/>
    </row>
    <row r="80" spans="1:52" ht="17.5" customHeight="1">
      <c r="A80" s="22"/>
      <c r="B80" s="34">
        <v>78755</v>
      </c>
      <c r="C80" s="14" t="s">
        <v>86</v>
      </c>
      <c r="D80" s="20" t="s">
        <v>102</v>
      </c>
      <c r="E80" s="20" t="s">
        <v>102</v>
      </c>
      <c r="F80" s="20"/>
      <c r="G80" s="14">
        <v>1180</v>
      </c>
      <c r="H80" s="14">
        <v>1180</v>
      </c>
      <c r="I80" s="14">
        <f t="shared" si="7"/>
        <v>0</v>
      </c>
      <c r="J80" s="14">
        <v>1180</v>
      </c>
      <c r="K80" s="14">
        <v>1180</v>
      </c>
      <c r="L80" s="14">
        <f t="shared" si="8"/>
        <v>0</v>
      </c>
      <c r="M80" s="14">
        <v>1180</v>
      </c>
      <c r="N80" s="14">
        <v>1180</v>
      </c>
      <c r="O80" s="14">
        <f t="shared" si="9"/>
        <v>0</v>
      </c>
      <c r="P80" s="14">
        <v>1180</v>
      </c>
      <c r="Q80" s="14">
        <v>1180</v>
      </c>
      <c r="R80" s="14">
        <f t="shared" si="10"/>
        <v>0</v>
      </c>
      <c r="S80" s="14">
        <v>1180</v>
      </c>
      <c r="T80" s="14">
        <v>1180</v>
      </c>
      <c r="U80" s="14">
        <f t="shared" si="11"/>
        <v>0</v>
      </c>
      <c r="V80" s="14">
        <v>1180</v>
      </c>
      <c r="W80" s="14">
        <v>1180</v>
      </c>
      <c r="X80" s="14">
        <f t="shared" si="12"/>
        <v>0</v>
      </c>
      <c r="Y80" s="14">
        <v>1180</v>
      </c>
      <c r="Z80" s="14">
        <v>1180</v>
      </c>
      <c r="AA80" s="14">
        <f t="shared" si="13"/>
        <v>0</v>
      </c>
      <c r="AB80" s="14">
        <v>1180</v>
      </c>
      <c r="AC80" s="14">
        <v>1180</v>
      </c>
      <c r="AD80" s="14">
        <v>1180</v>
      </c>
      <c r="AE80" s="14">
        <v>1180</v>
      </c>
      <c r="AF80" s="14">
        <v>1180</v>
      </c>
      <c r="AG80" s="89">
        <v>14160</v>
      </c>
      <c r="AH80" s="14"/>
      <c r="AI80" s="33"/>
      <c r="AJ80" s="117"/>
      <c r="AK80" s="117"/>
      <c r="AL80" s="117"/>
      <c r="AM80" s="117"/>
      <c r="AN80" s="117"/>
      <c r="AO80" s="117"/>
      <c r="AP80" s="117"/>
      <c r="AQ80" s="117"/>
      <c r="AR80" s="117"/>
      <c r="AS80" s="117"/>
      <c r="AT80" s="117"/>
      <c r="AU80" s="117"/>
      <c r="AV80" s="14"/>
      <c r="AW80" s="118"/>
      <c r="AX80" s="119"/>
      <c r="AY80" s="122"/>
      <c r="AZ80" s="123"/>
    </row>
    <row r="81" spans="1:72" ht="17.5" hidden="1" customHeight="1">
      <c r="A81" s="22"/>
      <c r="B81" s="34">
        <v>78771</v>
      </c>
      <c r="C81" s="14" t="s">
        <v>87</v>
      </c>
      <c r="D81" s="20" t="s">
        <v>102</v>
      </c>
      <c r="E81" s="20" t="s">
        <v>102</v>
      </c>
      <c r="F81" s="20"/>
      <c r="G81" s="14">
        <v>0</v>
      </c>
      <c r="H81" s="14"/>
      <c r="I81" s="14">
        <f t="shared" si="7"/>
        <v>0</v>
      </c>
      <c r="J81" s="14">
        <v>0</v>
      </c>
      <c r="K81" s="14"/>
      <c r="L81" s="14">
        <f t="shared" si="8"/>
        <v>0</v>
      </c>
      <c r="M81" s="14">
        <v>0</v>
      </c>
      <c r="N81" s="14"/>
      <c r="O81" s="14">
        <f t="shared" si="9"/>
        <v>0</v>
      </c>
      <c r="P81" s="14">
        <v>0</v>
      </c>
      <c r="Q81" s="14"/>
      <c r="R81" s="14">
        <f t="shared" si="10"/>
        <v>0</v>
      </c>
      <c r="S81" s="14">
        <v>0</v>
      </c>
      <c r="T81" s="14"/>
      <c r="U81" s="14">
        <f t="shared" si="11"/>
        <v>0</v>
      </c>
      <c r="V81" s="14">
        <v>0</v>
      </c>
      <c r="W81" s="14"/>
      <c r="X81" s="14">
        <f t="shared" si="12"/>
        <v>0</v>
      </c>
      <c r="Y81" s="14">
        <v>0</v>
      </c>
      <c r="Z81" s="14"/>
      <c r="AA81" s="14">
        <f t="shared" si="13"/>
        <v>0</v>
      </c>
      <c r="AB81" s="14">
        <v>0</v>
      </c>
      <c r="AC81" s="14">
        <v>0</v>
      </c>
      <c r="AD81" s="14">
        <v>0</v>
      </c>
      <c r="AE81" s="14">
        <v>0</v>
      </c>
      <c r="AF81" s="14">
        <v>0</v>
      </c>
      <c r="AG81" s="89">
        <v>0</v>
      </c>
      <c r="AH81" s="14"/>
      <c r="AI81" s="33"/>
      <c r="AJ81" s="117"/>
      <c r="AK81" s="117"/>
      <c r="AL81" s="117"/>
      <c r="AM81" s="117"/>
      <c r="AN81" s="117"/>
      <c r="AO81" s="117"/>
      <c r="AP81" s="117"/>
      <c r="AQ81" s="117"/>
      <c r="AR81" s="117"/>
      <c r="AS81" s="117"/>
      <c r="AT81" s="117"/>
      <c r="AU81" s="117"/>
      <c r="AV81" s="14"/>
      <c r="AW81" s="118"/>
      <c r="AX81" s="119"/>
      <c r="AY81" s="122"/>
      <c r="AZ81" s="123"/>
    </row>
    <row r="82" spans="1:72" ht="17.5" customHeight="1">
      <c r="A82" s="22"/>
      <c r="B82" s="34">
        <v>78751</v>
      </c>
      <c r="C82" s="14" t="s">
        <v>88</v>
      </c>
      <c r="D82" s="20" t="s">
        <v>102</v>
      </c>
      <c r="E82" s="20" t="s">
        <v>102</v>
      </c>
      <c r="F82" s="20"/>
      <c r="G82" s="14">
        <v>446</v>
      </c>
      <c r="H82" s="14">
        <v>405.77</v>
      </c>
      <c r="I82" s="14">
        <f t="shared" si="7"/>
        <v>40.230000000000018</v>
      </c>
      <c r="J82" s="14">
        <v>446</v>
      </c>
      <c r="K82" s="14">
        <v>405.77</v>
      </c>
      <c r="L82" s="14">
        <f t="shared" si="8"/>
        <v>40.230000000000018</v>
      </c>
      <c r="M82" s="14">
        <v>446</v>
      </c>
      <c r="N82" s="14">
        <v>405.77</v>
      </c>
      <c r="O82" s="14">
        <f t="shared" si="9"/>
        <v>40.230000000000018</v>
      </c>
      <c r="P82" s="14">
        <v>446</v>
      </c>
      <c r="Q82" s="14">
        <v>405.77</v>
      </c>
      <c r="R82" s="14">
        <f t="shared" si="10"/>
        <v>40.230000000000018</v>
      </c>
      <c r="S82" s="14">
        <v>446</v>
      </c>
      <c r="T82" s="14">
        <v>405.77</v>
      </c>
      <c r="U82" s="14">
        <f t="shared" si="11"/>
        <v>40.230000000000018</v>
      </c>
      <c r="V82" s="14">
        <v>446</v>
      </c>
      <c r="W82" s="14">
        <v>405.77</v>
      </c>
      <c r="X82" s="14">
        <f t="shared" si="12"/>
        <v>40.230000000000018</v>
      </c>
      <c r="Y82" s="14">
        <v>446</v>
      </c>
      <c r="Z82" s="14">
        <v>405.77</v>
      </c>
      <c r="AA82" s="14">
        <f t="shared" si="13"/>
        <v>40.230000000000018</v>
      </c>
      <c r="AB82" s="14">
        <v>446</v>
      </c>
      <c r="AC82" s="14">
        <v>446</v>
      </c>
      <c r="AD82" s="14">
        <v>446</v>
      </c>
      <c r="AE82" s="14">
        <v>446</v>
      </c>
      <c r="AF82" s="14">
        <v>446</v>
      </c>
      <c r="AG82" s="89">
        <v>5352</v>
      </c>
      <c r="AH82" s="14"/>
      <c r="AI82" s="33"/>
      <c r="AJ82" s="117"/>
      <c r="AK82" s="117"/>
      <c r="AL82" s="117"/>
      <c r="AM82" s="117"/>
      <c r="AN82" s="117"/>
      <c r="AO82" s="117"/>
      <c r="AP82" s="117"/>
      <c r="AQ82" s="117"/>
      <c r="AR82" s="117"/>
      <c r="AS82" s="117"/>
      <c r="AT82" s="117"/>
      <c r="AU82" s="117"/>
      <c r="AV82" s="14"/>
      <c r="AW82" s="118"/>
      <c r="AY82" s="122"/>
      <c r="AZ82" s="123"/>
    </row>
    <row r="83" spans="1:72" ht="17.5" hidden="1" customHeight="1">
      <c r="A83" s="22"/>
      <c r="B83" s="34">
        <v>78758</v>
      </c>
      <c r="C83" s="14" t="s">
        <v>89</v>
      </c>
      <c r="D83" s="20" t="s">
        <v>102</v>
      </c>
      <c r="E83" s="20" t="s">
        <v>102</v>
      </c>
      <c r="F83" s="20"/>
      <c r="G83" s="14">
        <v>0</v>
      </c>
      <c r="H83" s="14"/>
      <c r="I83" s="14">
        <f t="shared" si="7"/>
        <v>0</v>
      </c>
      <c r="J83" s="14">
        <v>0</v>
      </c>
      <c r="K83" s="14"/>
      <c r="L83" s="14">
        <f t="shared" si="8"/>
        <v>0</v>
      </c>
      <c r="M83" s="14">
        <v>0</v>
      </c>
      <c r="N83" s="14"/>
      <c r="O83" s="14">
        <f t="shared" si="9"/>
        <v>0</v>
      </c>
      <c r="P83" s="14">
        <v>0</v>
      </c>
      <c r="Q83" s="14"/>
      <c r="R83" s="14">
        <f t="shared" si="10"/>
        <v>0</v>
      </c>
      <c r="S83" s="14">
        <v>0</v>
      </c>
      <c r="T83" s="14"/>
      <c r="U83" s="14">
        <f t="shared" si="11"/>
        <v>0</v>
      </c>
      <c r="V83" s="14">
        <v>0</v>
      </c>
      <c r="W83" s="14"/>
      <c r="X83" s="14">
        <f t="shared" si="12"/>
        <v>0</v>
      </c>
      <c r="Y83" s="14">
        <v>0</v>
      </c>
      <c r="Z83" s="14"/>
      <c r="AA83" s="14">
        <f t="shared" si="13"/>
        <v>0</v>
      </c>
      <c r="AB83" s="14">
        <v>0</v>
      </c>
      <c r="AC83" s="14">
        <v>0</v>
      </c>
      <c r="AD83" s="14">
        <v>0</v>
      </c>
      <c r="AE83" s="14">
        <v>0</v>
      </c>
      <c r="AF83" s="14">
        <v>0</v>
      </c>
      <c r="AG83" s="89">
        <v>0</v>
      </c>
      <c r="AH83" s="14"/>
      <c r="AI83" s="33"/>
      <c r="AJ83" s="117"/>
      <c r="AK83" s="117"/>
      <c r="AL83" s="117"/>
      <c r="AM83" s="117"/>
      <c r="AN83" s="117"/>
      <c r="AO83" s="117"/>
      <c r="AP83" s="117"/>
      <c r="AQ83" s="117"/>
      <c r="AR83" s="117"/>
      <c r="AS83" s="117"/>
      <c r="AT83" s="117"/>
      <c r="AU83" s="117"/>
      <c r="AV83" s="14"/>
      <c r="AW83" s="118"/>
      <c r="AX83" s="119"/>
      <c r="AY83" s="122"/>
      <c r="AZ83" s="123"/>
    </row>
    <row r="84" spans="1:72" ht="17.5" hidden="1" customHeight="1">
      <c r="A84" s="22"/>
      <c r="B84" s="34">
        <v>78788</v>
      </c>
      <c r="C84" s="14" t="s">
        <v>90</v>
      </c>
      <c r="D84" s="20" t="s">
        <v>102</v>
      </c>
      <c r="E84" s="20" t="s">
        <v>102</v>
      </c>
      <c r="F84" s="20"/>
      <c r="G84" s="14">
        <v>0</v>
      </c>
      <c r="H84" s="14"/>
      <c r="I84" s="14">
        <f t="shared" si="7"/>
        <v>0</v>
      </c>
      <c r="J84" s="14">
        <v>0</v>
      </c>
      <c r="K84" s="14"/>
      <c r="L84" s="14">
        <f t="shared" si="8"/>
        <v>0</v>
      </c>
      <c r="M84" s="14">
        <v>0</v>
      </c>
      <c r="N84" s="14"/>
      <c r="O84" s="14">
        <f t="shared" si="9"/>
        <v>0</v>
      </c>
      <c r="P84" s="14">
        <v>0</v>
      </c>
      <c r="Q84" s="14"/>
      <c r="R84" s="14">
        <f t="shared" si="10"/>
        <v>0</v>
      </c>
      <c r="S84" s="14">
        <v>0</v>
      </c>
      <c r="T84" s="14"/>
      <c r="U84" s="14">
        <f t="shared" si="11"/>
        <v>0</v>
      </c>
      <c r="V84" s="14">
        <v>0</v>
      </c>
      <c r="W84" s="14"/>
      <c r="X84" s="14">
        <f t="shared" si="12"/>
        <v>0</v>
      </c>
      <c r="Y84" s="14">
        <v>0</v>
      </c>
      <c r="Z84" s="14"/>
      <c r="AA84" s="14">
        <f t="shared" si="13"/>
        <v>0</v>
      </c>
      <c r="AB84" s="14">
        <v>0</v>
      </c>
      <c r="AC84" s="14">
        <v>0</v>
      </c>
      <c r="AD84" s="14">
        <v>0</v>
      </c>
      <c r="AE84" s="14">
        <v>0</v>
      </c>
      <c r="AF84" s="14">
        <v>0</v>
      </c>
      <c r="AG84" s="89">
        <v>0</v>
      </c>
      <c r="AH84" s="14"/>
      <c r="AI84" s="33"/>
      <c r="AJ84" s="117"/>
      <c r="AK84" s="117"/>
      <c r="AL84" s="117"/>
      <c r="AM84" s="117"/>
      <c r="AN84" s="117"/>
      <c r="AO84" s="117"/>
      <c r="AP84" s="117"/>
      <c r="AQ84" s="117"/>
      <c r="AR84" s="117"/>
      <c r="AS84" s="117"/>
      <c r="AT84" s="117"/>
      <c r="AU84" s="117"/>
      <c r="AV84" s="14"/>
      <c r="AW84" s="118"/>
      <c r="AX84" s="119"/>
      <c r="AY84" s="122"/>
      <c r="AZ84" s="123"/>
    </row>
    <row r="85" spans="1:72" ht="17.5" hidden="1" customHeight="1">
      <c r="A85" s="22"/>
      <c r="B85" s="34">
        <v>78798</v>
      </c>
      <c r="C85" s="14" t="s">
        <v>91</v>
      </c>
      <c r="D85" s="20" t="s">
        <v>102</v>
      </c>
      <c r="E85" s="20" t="s">
        <v>102</v>
      </c>
      <c r="F85" s="20"/>
      <c r="G85" s="14">
        <v>0</v>
      </c>
      <c r="H85" s="14"/>
      <c r="I85" s="14">
        <f t="shared" si="7"/>
        <v>0</v>
      </c>
      <c r="J85" s="14">
        <v>0</v>
      </c>
      <c r="K85" s="14"/>
      <c r="L85" s="14">
        <f t="shared" si="8"/>
        <v>0</v>
      </c>
      <c r="M85" s="14">
        <v>0</v>
      </c>
      <c r="N85" s="14"/>
      <c r="O85" s="14">
        <f t="shared" si="9"/>
        <v>0</v>
      </c>
      <c r="P85" s="14">
        <v>0</v>
      </c>
      <c r="Q85" s="14"/>
      <c r="R85" s="14">
        <f t="shared" si="10"/>
        <v>0</v>
      </c>
      <c r="S85" s="14">
        <v>0</v>
      </c>
      <c r="T85" s="14"/>
      <c r="U85" s="14">
        <f t="shared" si="11"/>
        <v>0</v>
      </c>
      <c r="V85" s="14">
        <v>0</v>
      </c>
      <c r="W85" s="14"/>
      <c r="X85" s="14">
        <f t="shared" si="12"/>
        <v>0</v>
      </c>
      <c r="Y85" s="14">
        <v>0</v>
      </c>
      <c r="Z85" s="14"/>
      <c r="AA85" s="14">
        <f t="shared" si="13"/>
        <v>0</v>
      </c>
      <c r="AB85" s="14">
        <v>0</v>
      </c>
      <c r="AC85" s="14">
        <v>0</v>
      </c>
      <c r="AD85" s="14">
        <v>0</v>
      </c>
      <c r="AE85" s="14">
        <v>0</v>
      </c>
      <c r="AF85" s="14">
        <v>0</v>
      </c>
      <c r="AG85" s="89">
        <v>0</v>
      </c>
      <c r="AH85" s="14"/>
      <c r="AI85" s="33"/>
      <c r="AJ85" s="117"/>
      <c r="AK85" s="117"/>
      <c r="AL85" s="117"/>
      <c r="AM85" s="117"/>
      <c r="AN85" s="117"/>
      <c r="AO85" s="117"/>
      <c r="AP85" s="117"/>
      <c r="AQ85" s="117"/>
      <c r="AR85" s="117"/>
      <c r="AS85" s="117"/>
      <c r="AT85" s="117"/>
      <c r="AU85" s="117"/>
      <c r="AV85" s="14"/>
      <c r="AW85" s="118"/>
      <c r="AX85" s="119"/>
      <c r="AY85" s="122"/>
      <c r="AZ85" s="123"/>
    </row>
    <row r="86" spans="1:72" ht="17.5" hidden="1" customHeight="1">
      <c r="A86" s="22"/>
      <c r="B86" s="34">
        <v>78197</v>
      </c>
      <c r="C86" s="14" t="s">
        <v>92</v>
      </c>
      <c r="D86" s="20" t="s">
        <v>102</v>
      </c>
      <c r="E86" s="20" t="s">
        <v>102</v>
      </c>
      <c r="F86" s="20"/>
      <c r="G86" s="14">
        <v>0</v>
      </c>
      <c r="H86" s="14"/>
      <c r="I86" s="14">
        <f t="shared" si="7"/>
        <v>0</v>
      </c>
      <c r="J86" s="14">
        <v>0</v>
      </c>
      <c r="K86" s="14"/>
      <c r="L86" s="14">
        <f t="shared" si="8"/>
        <v>0</v>
      </c>
      <c r="M86" s="14">
        <v>0</v>
      </c>
      <c r="N86" s="14"/>
      <c r="O86" s="14">
        <f t="shared" si="9"/>
        <v>0</v>
      </c>
      <c r="P86" s="14">
        <v>0</v>
      </c>
      <c r="Q86" s="14"/>
      <c r="R86" s="14">
        <f t="shared" si="10"/>
        <v>0</v>
      </c>
      <c r="S86" s="14">
        <v>0</v>
      </c>
      <c r="T86" s="14"/>
      <c r="U86" s="14">
        <f t="shared" si="11"/>
        <v>0</v>
      </c>
      <c r="V86" s="14">
        <v>0</v>
      </c>
      <c r="W86" s="14"/>
      <c r="X86" s="14">
        <f t="shared" si="12"/>
        <v>0</v>
      </c>
      <c r="Y86" s="14">
        <v>0</v>
      </c>
      <c r="Z86" s="14"/>
      <c r="AA86" s="14">
        <f t="shared" si="13"/>
        <v>0</v>
      </c>
      <c r="AB86" s="14">
        <v>0</v>
      </c>
      <c r="AC86" s="14">
        <v>0</v>
      </c>
      <c r="AD86" s="14">
        <v>0</v>
      </c>
      <c r="AE86" s="14">
        <v>0</v>
      </c>
      <c r="AF86" s="14">
        <v>0</v>
      </c>
      <c r="AG86" s="89">
        <v>0</v>
      </c>
      <c r="AH86" s="14"/>
      <c r="AI86" s="33"/>
      <c r="AJ86" s="117"/>
      <c r="AK86" s="117"/>
      <c r="AL86" s="117"/>
      <c r="AM86" s="117"/>
      <c r="AN86" s="117"/>
      <c r="AO86" s="117"/>
      <c r="AP86" s="117"/>
      <c r="AQ86" s="117"/>
      <c r="AR86" s="117"/>
      <c r="AS86" s="117"/>
      <c r="AT86" s="117"/>
      <c r="AU86" s="117"/>
      <c r="AV86" s="14"/>
      <c r="AW86" s="118"/>
      <c r="AX86" s="119"/>
      <c r="AY86" s="122"/>
      <c r="AZ86" s="123"/>
    </row>
    <row r="87" spans="1:72" ht="17.5" customHeight="1">
      <c r="A87" s="22"/>
      <c r="B87" s="34">
        <v>78881</v>
      </c>
      <c r="C87" s="14" t="s">
        <v>93</v>
      </c>
      <c r="D87" s="20" t="s">
        <v>102</v>
      </c>
      <c r="E87" s="20" t="s">
        <v>102</v>
      </c>
      <c r="F87" s="20"/>
      <c r="G87" s="14">
        <v>165527.057</v>
      </c>
      <c r="H87" s="14">
        <v>60723.805999999997</v>
      </c>
      <c r="I87" s="14">
        <f t="shared" si="7"/>
        <v>104803.251</v>
      </c>
      <c r="J87" s="14">
        <v>58217.205000000002</v>
      </c>
      <c r="K87" s="14">
        <v>77128.475000000006</v>
      </c>
      <c r="L87" s="14">
        <f t="shared" si="8"/>
        <v>-18911.270000000004</v>
      </c>
      <c r="M87" s="14">
        <v>58110.872000000003</v>
      </c>
      <c r="N87" s="14">
        <v>35875.146000000001</v>
      </c>
      <c r="O87" s="14">
        <f t="shared" si="9"/>
        <v>22235.726000000002</v>
      </c>
      <c r="P87" s="14">
        <v>58217.205000000002</v>
      </c>
      <c r="Q87" s="14">
        <v>140488.56099999999</v>
      </c>
      <c r="R87" s="14">
        <f t="shared" si="10"/>
        <v>-82271.355999999985</v>
      </c>
      <c r="S87" s="14">
        <v>58110.872000000003</v>
      </c>
      <c r="T87" s="14">
        <v>85813.103000000003</v>
      </c>
      <c r="U87" s="14">
        <f t="shared" si="11"/>
        <v>-27702.231</v>
      </c>
      <c r="V87" s="14">
        <v>58217.205000000002</v>
      </c>
      <c r="W87" s="14">
        <v>117889.605</v>
      </c>
      <c r="X87" s="14">
        <f t="shared" si="12"/>
        <v>-59672.399999999994</v>
      </c>
      <c r="Y87" s="14">
        <v>58110.872000000003</v>
      </c>
      <c r="Z87" s="14">
        <v>85676.805999999997</v>
      </c>
      <c r="AA87" s="14">
        <f t="shared" si="13"/>
        <v>-27565.933999999994</v>
      </c>
      <c r="AB87" s="14">
        <v>58217.205000000002</v>
      </c>
      <c r="AC87" s="14">
        <v>92861</v>
      </c>
      <c r="AD87" s="14">
        <v>58217</v>
      </c>
      <c r="AE87" s="14">
        <v>58217.205000000002</v>
      </c>
      <c r="AF87" s="14">
        <v>58110.872000000003</v>
      </c>
      <c r="AG87" s="89">
        <v>840134.57</v>
      </c>
      <c r="AH87" s="14"/>
      <c r="AI87" s="33"/>
      <c r="AJ87" s="117"/>
      <c r="AK87" s="117"/>
      <c r="AL87" s="117"/>
      <c r="AM87" s="117"/>
      <c r="AN87" s="117"/>
      <c r="AO87" s="117"/>
      <c r="AP87" s="117"/>
      <c r="AQ87" s="117"/>
      <c r="AR87" s="117"/>
      <c r="AS87" s="117"/>
      <c r="AT87" s="117"/>
      <c r="AU87" s="117"/>
      <c r="AV87" s="14"/>
      <c r="AW87" s="118"/>
      <c r="AX87" s="119"/>
      <c r="AY87" s="122"/>
      <c r="AZ87" s="123"/>
    </row>
    <row r="88" spans="1:72" ht="17.5" hidden="1" customHeight="1">
      <c r="A88" s="22"/>
      <c r="B88" s="34"/>
      <c r="C88" s="84" t="s">
        <v>190</v>
      </c>
      <c r="D88" s="20" t="s">
        <v>102</v>
      </c>
      <c r="E88" s="11" t="s">
        <v>102</v>
      </c>
      <c r="F88" s="20"/>
      <c r="G88" s="14">
        <v>3231.6610000000001</v>
      </c>
      <c r="H88" s="14"/>
      <c r="I88" s="14">
        <f t="shared" si="7"/>
        <v>3231.6610000000001</v>
      </c>
      <c r="J88" s="14">
        <v>3231.6610000000001</v>
      </c>
      <c r="K88" s="14"/>
      <c r="L88" s="14">
        <f t="shared" si="8"/>
        <v>3231.6610000000001</v>
      </c>
      <c r="M88" s="14">
        <v>3231.6610000000001</v>
      </c>
      <c r="N88" s="14"/>
      <c r="O88" s="14">
        <f t="shared" si="9"/>
        <v>3231.6610000000001</v>
      </c>
      <c r="P88" s="14">
        <v>3231.6610000000001</v>
      </c>
      <c r="Q88" s="14"/>
      <c r="R88" s="14">
        <f t="shared" si="10"/>
        <v>3231.6610000000001</v>
      </c>
      <c r="S88" s="14">
        <v>3231.6610000000001</v>
      </c>
      <c r="T88" s="14"/>
      <c r="U88" s="14">
        <f t="shared" si="11"/>
        <v>3231.6610000000001</v>
      </c>
      <c r="V88" s="14">
        <v>3231.6610000000001</v>
      </c>
      <c r="W88" s="14"/>
      <c r="X88" s="14">
        <f t="shared" si="12"/>
        <v>3231.6610000000001</v>
      </c>
      <c r="Y88" s="14">
        <v>3231.6610000000001</v>
      </c>
      <c r="Z88" s="14"/>
      <c r="AA88" s="14">
        <f t="shared" si="13"/>
        <v>3231.6610000000001</v>
      </c>
      <c r="AB88" s="14">
        <v>3231.6610000000001</v>
      </c>
      <c r="AC88" s="14">
        <v>3231.6610000000001</v>
      </c>
      <c r="AD88" s="14">
        <v>3231.6610000000001</v>
      </c>
      <c r="AE88" s="14">
        <v>3231.6610000000001</v>
      </c>
      <c r="AF88" s="14">
        <v>3231.6610000000001</v>
      </c>
      <c r="AG88" s="89">
        <v>38779.932000000001</v>
      </c>
      <c r="AH88" s="14"/>
      <c r="AI88" s="33"/>
      <c r="AJ88" s="117"/>
      <c r="AK88" s="117"/>
      <c r="AL88" s="117"/>
      <c r="AM88" s="117"/>
      <c r="AN88" s="117"/>
      <c r="AO88" s="117"/>
      <c r="AP88" s="117"/>
      <c r="AQ88" s="117"/>
      <c r="AR88" s="117"/>
      <c r="AS88" s="117"/>
      <c r="AT88" s="117"/>
      <c r="AU88" s="117"/>
      <c r="AV88" s="14"/>
      <c r="AW88" s="118"/>
      <c r="AX88" s="119"/>
      <c r="AY88" s="122"/>
      <c r="AZ88" s="123"/>
    </row>
    <row r="89" spans="1:72" ht="17.5" customHeight="1">
      <c r="A89" s="22"/>
      <c r="B89" s="126"/>
      <c r="C89" s="127" t="s">
        <v>206</v>
      </c>
      <c r="D89" s="128"/>
      <c r="E89" s="129"/>
      <c r="F89" s="128"/>
      <c r="G89" s="127"/>
      <c r="H89" s="127">
        <v>6048.1729999999998</v>
      </c>
      <c r="I89" s="127">
        <f t="shared" si="7"/>
        <v>-6048.1729999999998</v>
      </c>
      <c r="J89" s="127"/>
      <c r="K89" s="127">
        <v>6065.9089999999997</v>
      </c>
      <c r="L89" s="127">
        <f t="shared" si="8"/>
        <v>-6065.9089999999997</v>
      </c>
      <c r="M89" s="127"/>
      <c r="N89" s="127">
        <v>4917.3620000000001</v>
      </c>
      <c r="O89" s="127">
        <f t="shared" si="9"/>
        <v>-4917.3620000000001</v>
      </c>
      <c r="P89" s="127"/>
      <c r="Q89" s="127">
        <v>6135.9859999999999</v>
      </c>
      <c r="R89" s="127">
        <f t="shared" si="10"/>
        <v>-6135.9859999999999</v>
      </c>
      <c r="S89" s="127"/>
      <c r="T89" s="127">
        <v>6167.8090000000002</v>
      </c>
      <c r="U89" s="127">
        <f t="shared" si="11"/>
        <v>-6167.8090000000002</v>
      </c>
      <c r="V89" s="127"/>
      <c r="W89" s="127">
        <v>5095.4380000000001</v>
      </c>
      <c r="X89" s="127">
        <f t="shared" si="12"/>
        <v>-5095.4380000000001</v>
      </c>
      <c r="Y89" s="127"/>
      <c r="Z89" s="127">
        <v>6223.5420000000004</v>
      </c>
      <c r="AA89" s="127">
        <f t="shared" si="13"/>
        <v>-6223.5420000000004</v>
      </c>
      <c r="AB89" s="127"/>
      <c r="AC89" s="127"/>
      <c r="AD89" s="127"/>
      <c r="AE89" s="127"/>
      <c r="AF89" s="127"/>
      <c r="AG89" s="89"/>
      <c r="AH89" s="14"/>
      <c r="AI89" s="33"/>
      <c r="AJ89" s="117"/>
      <c r="AK89" s="117"/>
      <c r="AL89" s="117"/>
      <c r="AM89" s="117"/>
      <c r="AN89" s="117"/>
      <c r="AO89" s="117"/>
      <c r="AP89" s="117"/>
      <c r="AQ89" s="117"/>
      <c r="AR89" s="117"/>
      <c r="AS89" s="117"/>
      <c r="AT89" s="117"/>
      <c r="AU89" s="117"/>
      <c r="AV89" s="14"/>
      <c r="AW89" s="118"/>
      <c r="AX89" s="119"/>
      <c r="AY89" s="122"/>
      <c r="AZ89" s="123"/>
    </row>
    <row r="90" spans="1:72" ht="17.5" customHeight="1">
      <c r="A90" s="22"/>
      <c r="B90" s="34"/>
      <c r="C90" s="14" t="s">
        <v>172</v>
      </c>
      <c r="D90" s="20"/>
      <c r="E90" s="11"/>
      <c r="F90" s="20"/>
      <c r="G90" s="14">
        <v>0</v>
      </c>
      <c r="H90" s="14">
        <v>3243.424</v>
      </c>
      <c r="I90" s="14">
        <f t="shared" si="7"/>
        <v>-3243.424</v>
      </c>
      <c r="J90" s="14">
        <v>0</v>
      </c>
      <c r="K90" s="14">
        <v>3243.424</v>
      </c>
      <c r="L90" s="14">
        <f t="shared" si="8"/>
        <v>-3243.424</v>
      </c>
      <c r="M90" s="14">
        <v>0</v>
      </c>
      <c r="N90" s="14">
        <v>3243.424</v>
      </c>
      <c r="O90" s="14">
        <f t="shared" si="9"/>
        <v>-3243.424</v>
      </c>
      <c r="P90" s="14">
        <v>0</v>
      </c>
      <c r="Q90" s="14">
        <v>3243.424</v>
      </c>
      <c r="R90" s="14">
        <f t="shared" si="10"/>
        <v>-3243.424</v>
      </c>
      <c r="S90" s="14">
        <v>0</v>
      </c>
      <c r="T90" s="14">
        <v>3315.3560000000002</v>
      </c>
      <c r="U90" s="14">
        <f t="shared" si="11"/>
        <v>-3315.3560000000002</v>
      </c>
      <c r="V90" s="14">
        <v>0</v>
      </c>
      <c r="W90" s="14">
        <v>1469.3230000000001</v>
      </c>
      <c r="X90" s="14">
        <f t="shared" si="12"/>
        <v>-1469.3230000000001</v>
      </c>
      <c r="Y90" s="14">
        <v>0</v>
      </c>
      <c r="Z90" s="14">
        <v>2280.5639999999999</v>
      </c>
      <c r="AA90" s="14">
        <f t="shared" si="13"/>
        <v>-2280.5639999999999</v>
      </c>
      <c r="AB90" s="14">
        <v>0</v>
      </c>
      <c r="AC90" s="14">
        <v>0</v>
      </c>
      <c r="AD90" s="14">
        <v>0</v>
      </c>
      <c r="AE90" s="14">
        <v>0</v>
      </c>
      <c r="AF90" s="14">
        <v>0</v>
      </c>
      <c r="AG90" s="89">
        <v>0</v>
      </c>
      <c r="AH90" s="14"/>
      <c r="AI90" s="33"/>
      <c r="AJ90" s="117"/>
      <c r="AK90" s="117"/>
      <c r="AL90" s="117"/>
      <c r="AM90" s="117"/>
      <c r="AN90" s="117"/>
      <c r="AO90" s="117"/>
      <c r="AP90" s="117"/>
      <c r="AQ90" s="117"/>
      <c r="AR90" s="117"/>
      <c r="AS90" s="117"/>
      <c r="AT90" s="117"/>
      <c r="AU90" s="117"/>
      <c r="AV90" s="14"/>
      <c r="AW90" s="118"/>
      <c r="AX90" s="119"/>
      <c r="AY90" s="122"/>
      <c r="AZ90" s="123"/>
    </row>
    <row r="91" spans="1:72" ht="28.5" hidden="1" customHeight="1">
      <c r="A91" s="22"/>
      <c r="B91" s="34"/>
      <c r="C91" s="81" t="s">
        <v>176</v>
      </c>
      <c r="D91" s="20"/>
      <c r="E91" s="11"/>
      <c r="F91" s="20"/>
      <c r="G91" s="70">
        <v>0</v>
      </c>
      <c r="H91" s="70"/>
      <c r="I91" s="14">
        <f t="shared" si="7"/>
        <v>0</v>
      </c>
      <c r="J91" s="70">
        <v>0</v>
      </c>
      <c r="K91" s="70"/>
      <c r="L91" s="14">
        <f t="shared" si="8"/>
        <v>0</v>
      </c>
      <c r="M91" s="70">
        <v>0</v>
      </c>
      <c r="N91" s="70"/>
      <c r="O91" s="14">
        <f t="shared" si="9"/>
        <v>0</v>
      </c>
      <c r="P91" s="70">
        <v>0</v>
      </c>
      <c r="Q91" s="70"/>
      <c r="R91" s="14">
        <f t="shared" si="10"/>
        <v>0</v>
      </c>
      <c r="S91" s="70">
        <v>0</v>
      </c>
      <c r="T91" s="70"/>
      <c r="U91" s="14">
        <f t="shared" si="11"/>
        <v>0</v>
      </c>
      <c r="V91" s="70">
        <v>0</v>
      </c>
      <c r="W91" s="70"/>
      <c r="X91" s="14">
        <f t="shared" si="12"/>
        <v>0</v>
      </c>
      <c r="Y91" s="70">
        <v>0</v>
      </c>
      <c r="Z91" s="70"/>
      <c r="AA91" s="14">
        <f t="shared" si="13"/>
        <v>0</v>
      </c>
      <c r="AB91" s="70">
        <v>0</v>
      </c>
      <c r="AC91" s="70">
        <v>0</v>
      </c>
      <c r="AD91" s="70">
        <v>0</v>
      </c>
      <c r="AE91" s="70">
        <v>0</v>
      </c>
      <c r="AF91" s="70">
        <v>0</v>
      </c>
      <c r="AG91" s="89">
        <v>0</v>
      </c>
      <c r="AH91" s="14"/>
      <c r="AI91" s="33"/>
      <c r="AJ91" s="117"/>
      <c r="AK91" s="117"/>
      <c r="AL91" s="117"/>
      <c r="AM91" s="117"/>
      <c r="AN91" s="117"/>
      <c r="AO91" s="117"/>
      <c r="AP91" s="117"/>
      <c r="AQ91" s="117"/>
      <c r="AR91" s="117"/>
      <c r="AS91" s="117"/>
      <c r="AT91" s="117"/>
      <c r="AU91" s="117"/>
      <c r="AV91" s="14"/>
      <c r="AW91" s="118"/>
      <c r="AX91" s="119"/>
      <c r="AY91" s="122"/>
      <c r="AZ91" s="123"/>
    </row>
    <row r="92" spans="1:72" ht="17.5" hidden="1" customHeight="1">
      <c r="A92" s="22"/>
      <c r="B92" s="34"/>
      <c r="C92" s="14" t="s">
        <v>127</v>
      </c>
      <c r="D92" s="20"/>
      <c r="E92" s="11"/>
      <c r="F92" s="20"/>
      <c r="G92" s="14"/>
      <c r="H92" s="14"/>
      <c r="I92" s="14">
        <f t="shared" si="7"/>
        <v>0</v>
      </c>
      <c r="J92" s="14"/>
      <c r="K92" s="14"/>
      <c r="L92" s="14">
        <f t="shared" si="8"/>
        <v>0</v>
      </c>
      <c r="M92" s="14"/>
      <c r="N92" s="14"/>
      <c r="O92" s="14">
        <f t="shared" si="9"/>
        <v>0</v>
      </c>
      <c r="P92" s="14"/>
      <c r="Q92" s="14"/>
      <c r="R92" s="14">
        <f t="shared" si="10"/>
        <v>0</v>
      </c>
      <c r="S92" s="14"/>
      <c r="T92" s="14"/>
      <c r="U92" s="14">
        <f t="shared" si="11"/>
        <v>0</v>
      </c>
      <c r="V92" s="14"/>
      <c r="W92" s="14"/>
      <c r="X92" s="14">
        <f t="shared" si="12"/>
        <v>0</v>
      </c>
      <c r="Y92" s="14"/>
      <c r="Z92" s="14"/>
      <c r="AA92" s="14">
        <f t="shared" si="13"/>
        <v>0</v>
      </c>
      <c r="AB92" s="14"/>
      <c r="AC92" s="14"/>
      <c r="AD92" s="14"/>
      <c r="AE92" s="14"/>
      <c r="AF92" s="14"/>
      <c r="AG92" s="89">
        <v>0</v>
      </c>
      <c r="AH92" s="14"/>
      <c r="AI92" s="33"/>
      <c r="AJ92" s="117"/>
      <c r="AK92" s="117"/>
      <c r="AL92" s="117"/>
      <c r="AM92" s="117"/>
      <c r="AN92" s="117"/>
      <c r="AO92" s="117"/>
      <c r="AP92" s="117"/>
      <c r="AQ92" s="117"/>
      <c r="AR92" s="117"/>
      <c r="AS92" s="117"/>
      <c r="AT92" s="117"/>
      <c r="AU92" s="117"/>
      <c r="AV92" s="14"/>
      <c r="AW92" s="118"/>
      <c r="AX92" s="119"/>
      <c r="AY92" s="122"/>
      <c r="AZ92" s="123"/>
    </row>
    <row r="93" spans="1:72" s="2" customFormat="1" ht="17.5" customHeight="1">
      <c r="A93" s="90"/>
      <c r="B93" s="91"/>
      <c r="C93" s="91"/>
      <c r="D93" s="92" t="s">
        <v>6</v>
      </c>
      <c r="E93" s="93"/>
      <c r="F93" s="93"/>
      <c r="G93" s="94">
        <f t="shared" ref="G93:AG93" si="14">SUM(G6:G92)</f>
        <v>304254.6326666667</v>
      </c>
      <c r="H93" s="94">
        <f t="shared" si="14"/>
        <v>203848.43699999998</v>
      </c>
      <c r="I93" s="94">
        <f t="shared" si="14"/>
        <v>100406.19566666668</v>
      </c>
      <c r="J93" s="94">
        <f t="shared" si="14"/>
        <v>193641.03066666666</v>
      </c>
      <c r="K93" s="94">
        <f t="shared" si="14"/>
        <v>211889.88</v>
      </c>
      <c r="L93" s="94">
        <f t="shared" si="14"/>
        <v>-18248.849333333343</v>
      </c>
      <c r="M93" s="94">
        <f t="shared" si="14"/>
        <v>251043.12766666664</v>
      </c>
      <c r="N93" s="94">
        <f t="shared" si="14"/>
        <v>232399.32699999999</v>
      </c>
      <c r="O93" s="94">
        <f t="shared" si="14"/>
        <v>18643.800666666677</v>
      </c>
      <c r="P93" s="94">
        <f t="shared" si="14"/>
        <v>201134.46066666665</v>
      </c>
      <c r="Q93" s="94">
        <f t="shared" si="14"/>
        <v>328114.23299999995</v>
      </c>
      <c r="R93" s="94">
        <f t="shared" si="14"/>
        <v>-126979.77233333333</v>
      </c>
      <c r="S93" s="94">
        <f t="shared" si="14"/>
        <v>242843.12766666664</v>
      </c>
      <c r="T93" s="94">
        <f t="shared" si="14"/>
        <v>370205.22500000009</v>
      </c>
      <c r="U93" s="94">
        <f t="shared" si="14"/>
        <v>-127362.09733333332</v>
      </c>
      <c r="V93" s="94">
        <f t="shared" si="14"/>
        <v>219300.46066666665</v>
      </c>
      <c r="W93" s="94">
        <f t="shared" si="14"/>
        <v>269874.30699999991</v>
      </c>
      <c r="X93" s="94">
        <f t="shared" si="14"/>
        <v>-50573.846333333327</v>
      </c>
      <c r="Y93" s="94">
        <f t="shared" si="14"/>
        <v>196907.12766666667</v>
      </c>
      <c r="Z93" s="94">
        <f t="shared" si="14"/>
        <v>249157.37299999999</v>
      </c>
      <c r="AA93" s="94">
        <f t="shared" si="14"/>
        <v>-52250.245333333325</v>
      </c>
      <c r="AB93" s="94">
        <f t="shared" si="14"/>
        <v>196865.46066666665</v>
      </c>
      <c r="AC93" s="94">
        <f t="shared" si="14"/>
        <v>238112.25566666666</v>
      </c>
      <c r="AD93" s="94">
        <f t="shared" si="14"/>
        <v>197669.25566666666</v>
      </c>
      <c r="AE93" s="94">
        <f t="shared" si="14"/>
        <v>313017.46066666668</v>
      </c>
      <c r="AF93" s="94">
        <f t="shared" si="14"/>
        <v>198478.12766666667</v>
      </c>
      <c r="AG93" s="94">
        <f t="shared" si="14"/>
        <v>2753266.5279999999</v>
      </c>
      <c r="AH93" s="94">
        <f>SUM(AH6:AH92)</f>
        <v>0</v>
      </c>
      <c r="AI93" s="95"/>
      <c r="AJ93" s="69"/>
      <c r="AK93" s="69"/>
      <c r="AL93" s="69"/>
      <c r="AM93" s="69"/>
      <c r="AN93" s="69"/>
      <c r="AO93" s="69"/>
      <c r="AP93" s="69"/>
      <c r="AQ93" s="69"/>
      <c r="AR93" s="69"/>
      <c r="AS93" s="69"/>
      <c r="AT93" s="69"/>
      <c r="AU93" s="69"/>
      <c r="AV93" s="69"/>
      <c r="AW93" s="125"/>
      <c r="AX93" s="79"/>
      <c r="AY93" s="69"/>
      <c r="AZ93" s="70"/>
    </row>
    <row r="94" spans="1:72" s="2" customFormat="1" ht="17.5" customHeight="1">
      <c r="A94" s="68"/>
      <c r="B94" s="6"/>
      <c r="C94" s="4"/>
      <c r="D94" s="68"/>
      <c r="E94" s="68"/>
      <c r="F94" s="68"/>
      <c r="G94" s="69"/>
      <c r="H94" s="130"/>
      <c r="I94" s="14"/>
      <c r="J94" s="14"/>
      <c r="K94" s="130"/>
      <c r="L94" s="69"/>
      <c r="M94" s="69"/>
      <c r="N94" s="130"/>
      <c r="O94" s="69"/>
      <c r="P94" s="69"/>
      <c r="Q94" s="130"/>
      <c r="R94" s="69"/>
      <c r="S94" s="69"/>
      <c r="T94" s="130"/>
      <c r="U94" s="69"/>
      <c r="V94" s="69"/>
      <c r="W94" s="130"/>
      <c r="X94" s="69"/>
      <c r="Y94" s="69"/>
      <c r="Z94" s="130"/>
      <c r="AA94" s="69"/>
      <c r="AB94" s="69"/>
      <c r="AC94" s="69"/>
      <c r="AD94" s="69"/>
      <c r="AE94" s="69"/>
      <c r="AF94" s="69"/>
      <c r="AG94" s="69"/>
      <c r="AH94" s="69"/>
      <c r="AJ94" s="69"/>
      <c r="AK94" s="69"/>
      <c r="AL94" s="69"/>
      <c r="AM94" s="69"/>
      <c r="AN94" s="69"/>
      <c r="AO94" s="69"/>
      <c r="AP94" s="69"/>
      <c r="AQ94" s="69"/>
      <c r="AR94" s="69"/>
      <c r="AS94" s="69"/>
      <c r="AT94" s="69"/>
      <c r="AU94" s="69"/>
      <c r="AV94" s="69"/>
      <c r="AW94" s="125"/>
      <c r="AX94" s="79"/>
      <c r="AY94" s="69"/>
      <c r="AZ94" s="70"/>
    </row>
    <row r="95" spans="1:72" ht="17.5" customHeight="1"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Y95" s="9"/>
      <c r="AZ95" s="9"/>
      <c r="BA95" s="9"/>
      <c r="BB95" s="9"/>
      <c r="BC95" s="9"/>
      <c r="BD95" s="9"/>
      <c r="BF95" s="71"/>
      <c r="BG95" s="31"/>
      <c r="BH95" s="31"/>
      <c r="BI95" s="31"/>
      <c r="BJ95" s="31"/>
      <c r="BK95" s="31"/>
      <c r="BL95" s="31"/>
      <c r="BM95" s="31"/>
      <c r="BN95" s="31"/>
      <c r="BO95" s="31"/>
      <c r="BP95" s="31"/>
      <c r="BQ95" s="31"/>
      <c r="BR95" s="31"/>
      <c r="BS95" s="31"/>
      <c r="BT95" s="32"/>
    </row>
    <row r="96" spans="1:72" ht="17.5" hidden="1" customHeight="1">
      <c r="A96" s="27"/>
      <c r="E96" s="3"/>
      <c r="G96" s="31"/>
      <c r="H96" s="31"/>
      <c r="I96" s="31"/>
      <c r="J96" s="31"/>
      <c r="K96" s="31"/>
      <c r="L96" s="31"/>
      <c r="N96" s="31"/>
      <c r="O96" s="31"/>
      <c r="P96" s="31"/>
      <c r="Q96" s="31"/>
      <c r="R96" s="31"/>
      <c r="S96" s="31"/>
      <c r="T96" s="31"/>
      <c r="U96" s="31"/>
      <c r="W96" s="31"/>
      <c r="X96" s="31"/>
      <c r="Y96" s="31"/>
      <c r="Z96" s="31"/>
      <c r="AA96" s="31"/>
      <c r="AB96" s="31"/>
      <c r="AD96" s="31"/>
      <c r="AE96" s="31"/>
      <c r="AG96" s="31"/>
      <c r="AH96" s="31"/>
      <c r="AI96" s="31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31"/>
      <c r="AX96" s="37"/>
      <c r="AY96" s="31"/>
      <c r="AZ96" s="9"/>
      <c r="BA96" s="31"/>
      <c r="BB96" s="31"/>
      <c r="BC96" s="9"/>
      <c r="BD96" s="31"/>
      <c r="BE96" s="31"/>
      <c r="BF96" s="71"/>
      <c r="BH96" s="9"/>
      <c r="BT96" s="32"/>
    </row>
    <row r="97" spans="1:72" ht="17.5" hidden="1" customHeight="1">
      <c r="A97" s="27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3"/>
      <c r="AY97" s="9"/>
      <c r="AZ97" s="9"/>
      <c r="BA97" s="9"/>
      <c r="BB97" s="9"/>
      <c r="BC97" s="9"/>
      <c r="BD97" s="9"/>
      <c r="BF97" s="71"/>
      <c r="BH97" s="9"/>
      <c r="BT97" s="32"/>
    </row>
    <row r="98" spans="1:72" ht="17.5" customHeight="1">
      <c r="A98" s="27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Y98" s="9"/>
      <c r="AZ98" s="9"/>
      <c r="BA98" s="9"/>
      <c r="BB98" s="9"/>
      <c r="BC98" s="9"/>
      <c r="BD98" s="9"/>
      <c r="BF98" s="71"/>
      <c r="BH98" s="9"/>
      <c r="BT98" s="32"/>
    </row>
    <row r="99" spans="1:72" ht="17.5" customHeight="1">
      <c r="A99" s="27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Y99" s="9"/>
      <c r="AZ99" s="9"/>
      <c r="BA99" s="9"/>
      <c r="BB99" s="9"/>
      <c r="BC99" s="9"/>
      <c r="BD99" s="9"/>
      <c r="BH99" s="9"/>
      <c r="BT99" s="32"/>
    </row>
    <row r="100" spans="1:72" ht="17.5" customHeight="1">
      <c r="A100" s="27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Y100" s="9"/>
      <c r="AZ100" s="9"/>
      <c r="BA100" s="9"/>
      <c r="BB100" s="9"/>
      <c r="BC100" s="9"/>
      <c r="BD100" s="9"/>
      <c r="BH100" s="9"/>
      <c r="BT100" s="32"/>
    </row>
    <row r="101" spans="1:72" ht="17.5" customHeight="1">
      <c r="A101" s="27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Y101" s="9"/>
      <c r="AZ101" s="9"/>
      <c r="BA101" s="9"/>
      <c r="BB101" s="9"/>
      <c r="BC101" s="9"/>
      <c r="BD101" s="9"/>
      <c r="BH101" s="9"/>
      <c r="BT101" s="32"/>
    </row>
    <row r="102" spans="1:72"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Y102" s="9"/>
      <c r="AZ102" s="9"/>
      <c r="BA102" s="9"/>
      <c r="BB102" s="9"/>
      <c r="BC102" s="9"/>
      <c r="BD102" s="9"/>
      <c r="BH102" s="9"/>
      <c r="BT102" s="32"/>
    </row>
    <row r="103" spans="1:72" ht="17.5" customHeight="1"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Y103" s="9"/>
      <c r="AZ103" s="9"/>
      <c r="BA103" s="9"/>
      <c r="BB103" s="9"/>
      <c r="BC103" s="9"/>
      <c r="BD103" s="9"/>
      <c r="BH103" s="9"/>
      <c r="BT103" s="32"/>
    </row>
    <row r="104" spans="1:72">
      <c r="AK104" s="9"/>
    </row>
    <row r="105" spans="1:72">
      <c r="AG105" s="30"/>
      <c r="AK105" s="9"/>
    </row>
    <row r="106" spans="1:72">
      <c r="AG106" s="30"/>
      <c r="AK106" s="9"/>
    </row>
    <row r="110" spans="1:72">
      <c r="AG110" s="9"/>
    </row>
  </sheetData>
  <autoFilter ref="A5:AG92" xr:uid="{DE8788FA-F08A-49F6-9AE5-A42004438D0A}">
    <filterColumn colId="25">
      <customFilters>
        <customFilter operator="notEqual" val=" "/>
      </customFilters>
    </filterColumn>
  </autoFilter>
  <mergeCells count="2">
    <mergeCell ref="AI4:AI5"/>
    <mergeCell ref="AX4:AX5"/>
  </mergeCells>
  <phoneticPr fontId="84" type="noConversion"/>
  <pageMargins left="0" right="0" top="0.19685039370078741" bottom="0" header="0.51181102362204722" footer="0.51181102362204722"/>
  <pageSetup paperSize="9" scale="39" fitToHeight="0" orientation="landscape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431be9a-f873-4eb3-b586-028eb57656de">
      <Terms xmlns="http://schemas.microsoft.com/office/infopath/2007/PartnerControls"/>
    </lcf76f155ced4ddcb4097134ff3c332f>
    <TaxCatchAll xmlns="50c908b1-f277-4340-90a9-4611d0b0f078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0CF99935E8C14081C194FF61690513" ma:contentTypeVersion="14" ma:contentTypeDescription="Create a new document." ma:contentTypeScope="" ma:versionID="283aedf9d2bb74620699d93e639d4323">
  <xsd:schema xmlns:xsd="http://www.w3.org/2001/XMLSchema" xmlns:xs="http://www.w3.org/2001/XMLSchema" xmlns:p="http://schemas.microsoft.com/office/2006/metadata/properties" xmlns:ns2="0431be9a-f873-4eb3-b586-028eb57656de" xmlns:ns3="50c908b1-f277-4340-90a9-4611d0b0f078" xmlns:ns4="390a395a-1d43-4b30-9356-ad7858920628" targetNamespace="http://schemas.microsoft.com/office/2006/metadata/properties" ma:root="true" ma:fieldsID="4c9adeb8cb17bc03977428472455aae5" ns2:_="" ns3:_="" ns4:_="">
    <xsd:import namespace="0431be9a-f873-4eb3-b586-028eb57656de"/>
    <xsd:import namespace="50c908b1-f277-4340-90a9-4611d0b0f078"/>
    <xsd:import namespace="390a395a-1d43-4b30-9356-ad785892062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31be9a-f873-4eb3-b586-028eb57656d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33ef62f9-2e07-484b-bd79-00aec90129f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c908b1-f277-4340-90a9-4611d0b0f078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33f18b61-7a54-41f5-bb00-3e45ce6b22be}" ma:internalName="TaxCatchAll" ma:showField="CatchAllData" ma:web="390a395a-1d43-4b30-9356-ad78589206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90a395a-1d43-4b30-9356-ad7858920628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CBA4F8-2739-43E6-8505-9EEC93748C17}">
  <ds:schemaRefs>
    <ds:schemaRef ds:uri="http://purl.org/dc/dcmitype/"/>
    <ds:schemaRef ds:uri="http://www.w3.org/XML/1998/namespace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89eb2406-fe93-4fac-bf3a-70492d990ef8"/>
    <ds:schemaRef ds:uri="0431be9a-f873-4eb3-b586-028eb57656de"/>
    <ds:schemaRef ds:uri="50c908b1-f277-4340-90a9-4611d0b0f078"/>
  </ds:schemaRefs>
</ds:datastoreItem>
</file>

<file path=customXml/itemProps2.xml><?xml version="1.0" encoding="utf-8"?>
<ds:datastoreItem xmlns:ds="http://schemas.openxmlformats.org/officeDocument/2006/customXml" ds:itemID="{DD0DD79D-28BA-491E-A0BA-5B7CF383DC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431be9a-f873-4eb3-b586-028eb57656de"/>
    <ds:schemaRef ds:uri="50c908b1-f277-4340-90a9-4611d0b0f078"/>
    <ds:schemaRef ds:uri="390a395a-1d43-4b30-9356-ad78589206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5618702-E571-469A-B9FA-AD2CA70DEE7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List</vt:lpstr>
      <vt:lpstr>FX</vt:lpstr>
      <vt:lpstr>HC info</vt:lpstr>
      <vt:lpstr>Capex</vt:lpstr>
      <vt:lpstr>Eng 76100(K01) upload</vt:lpstr>
      <vt:lpstr>RGM10-FY26 Korea</vt:lpstr>
      <vt:lpstr>'Eng 76100(K01) upload'!Print_Area</vt:lpstr>
      <vt:lpstr>'RGM10-FY26 Korea'!Print_Area</vt:lpstr>
    </vt:vector>
  </TitlesOfParts>
  <Company>ArvinMeritor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liuw</dc:creator>
  <cp:lastModifiedBy>Kimberly T Arataquio</cp:lastModifiedBy>
  <cp:lastPrinted>2021-11-19T02:03:22Z</cp:lastPrinted>
  <dcterms:created xsi:type="dcterms:W3CDTF">2008-04-29T10:05:24Z</dcterms:created>
  <dcterms:modified xsi:type="dcterms:W3CDTF">2026-06-03T03:16:37Z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MSIP_Label_7dd8d018-c9e1-4fc0-8312-d88e53c0ba38_Enabled">
    <vt:lpwstr>true</vt:lpwstr>
  </property>
  <property fmtid="{D5CDD505-2E9C-101B-9397-08002B2CF9AE}" pid="4" name="MSIP_Label_7dd8d018-c9e1-4fc0-8312-d88e53c0ba38_SetDate">
    <vt:lpwstr>2023-07-18T12:40:38Z</vt:lpwstr>
  </property>
  <property fmtid="{D5CDD505-2E9C-101B-9397-08002B2CF9AE}" pid="5" name="MSIP_Label_7dd8d018-c9e1-4fc0-8312-d88e53c0ba38_Method">
    <vt:lpwstr>Privileged</vt:lpwstr>
  </property>
  <property fmtid="{D5CDD505-2E9C-101B-9397-08002B2CF9AE}" pid="6" name="MSIP_Label_7dd8d018-c9e1-4fc0-8312-d88e53c0ba38_Name">
    <vt:lpwstr>Internal - General</vt:lpwstr>
  </property>
  <property fmtid="{D5CDD505-2E9C-101B-9397-08002B2CF9AE}" pid="7" name="MSIP_Label_7dd8d018-c9e1-4fc0-8312-d88e53c0ba38_SiteId">
    <vt:lpwstr>a0424ab4-6c17-4615-99fe-ec15cd70614f</vt:lpwstr>
  </property>
  <property fmtid="{D5CDD505-2E9C-101B-9397-08002B2CF9AE}" pid="8" name="MSIP_Label_7dd8d018-c9e1-4fc0-8312-d88e53c0ba38_ActionId">
    <vt:lpwstr>b2c31d9c-3eee-4e23-83aa-be8e3917ff7e</vt:lpwstr>
  </property>
  <property fmtid="{D5CDD505-2E9C-101B-9397-08002B2CF9AE}" pid="9" name="MSIP_Label_7dd8d018-c9e1-4fc0-8312-d88e53c0ba38_ContentBits">
    <vt:lpwstr>0</vt:lpwstr>
  </property>
  <property fmtid="{D5CDD505-2E9C-101B-9397-08002B2CF9AE}" pid="10" name="ContentTypeId">
    <vt:lpwstr>0x010100F50CF99935E8C14081C194FF61690513</vt:lpwstr>
  </property>
</Properties>
</file>